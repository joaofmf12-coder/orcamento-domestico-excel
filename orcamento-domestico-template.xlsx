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aof\Desktop\GitHub\"/>
    </mc:Choice>
  </mc:AlternateContent>
  <xr:revisionPtr revIDLastSave="0" documentId="13_ncr:1_{E3D5E39E-C088-4C1F-834C-3D279C9D6AFF}" xr6:coauthVersionLast="47" xr6:coauthVersionMax="47" xr10:uidLastSave="{00000000-0000-0000-0000-000000000000}"/>
  <bookViews>
    <workbookView xWindow="-108" yWindow="-108" windowWidth="23256" windowHeight="13176" tabRatio="912" xr2:uid="{00000000-000D-0000-FFFF-FFFF00000000}"/>
  </bookViews>
  <sheets>
    <sheet name="INICIO" sheetId="27" r:id="rId1"/>
    <sheet name="ORCAMENTO" sheetId="25" r:id="rId2"/>
    <sheet name="LAN_RECEITAS" sheetId="15" r:id="rId3"/>
    <sheet name="LAN_DESPESAS" sheetId="16" r:id="rId4"/>
    <sheet name="LAN_CARTOES" sheetId="17" r:id="rId5"/>
    <sheet name="FLUXO_CAIXA" sheetId="28" r:id="rId6"/>
    <sheet name="DASHBOARD" sheetId="22" r:id="rId7"/>
    <sheet name="FATURAS_CARTAO" sheetId="24" r:id="rId8"/>
    <sheet name="PREVISOES" sheetId="33" r:id="rId9"/>
    <sheet name="LAN_INVESTIMENTOS" sheetId="8" r:id="rId10"/>
    <sheet name="CAD_Investimentos" sheetId="3" r:id="rId11"/>
    <sheet name="CAD_Categorias" sheetId="1" r:id="rId12"/>
    <sheet name="Aux_Listas" sheetId="19" r:id="rId13"/>
    <sheet name="CALENDARIO" sheetId="20" r:id="rId14"/>
    <sheet name="PARCELAS " sheetId="42" r:id="rId15"/>
  </sheets>
  <definedNames>
    <definedName name="Alimentacao">Aux_Listas!$H$2:$H$5</definedName>
    <definedName name="Alimentação">Aux_Listas!$H$2:$H$20</definedName>
    <definedName name="Beneficio">Aux_Listas!$C$2:$C$2</definedName>
    <definedName name="Benefício">Aux_Listas!$C$2:$C$20</definedName>
    <definedName name="Caridade">Aux_Listas!$O$2:$O$20</definedName>
    <definedName name="Cartoes_Credito">FATURAS_CARTAO!$A$4:$A$6</definedName>
    <definedName name="Categorias_Despesa">Aux_Listas!$A$6:$A$16</definedName>
    <definedName name="Categorias_Receita">Aux_Listas!$A$1:$A$5</definedName>
    <definedName name="Convênio">Aux_Listas!$E$2:$E$20</definedName>
    <definedName name="Convenios">Aux_Listas!$E$2:$E$2</definedName>
    <definedName name="Convênios">Aux_Listas!$E$2:$E$20</definedName>
    <definedName name="Dividas">Aux_Listas!$P$2:$P$3</definedName>
    <definedName name="Dívidas">Aux_Listas!$P$2:$P$20</definedName>
    <definedName name="Educacao">Aux_Listas!$K$2:$K$7</definedName>
    <definedName name="Educação">Aux_Listas!$K$2:$K$20</definedName>
    <definedName name="Extra">Aux_Listas!$F$2:$F$20</definedName>
    <definedName name="Habitacao">Aux_Listas!$G$2:$G$16</definedName>
    <definedName name="Habitação">Aux_Listas!$G$2:$G$20</definedName>
    <definedName name="Invest_Alternativos">Aux_Listas!$U$2:$U$20</definedName>
    <definedName name="Lazer">Aux_Listas!$M$2:$M$20</definedName>
    <definedName name="listaCategorias">Aux_Listas!$A$1:INDEX(Aux_Listas!$A:$A,COUNTA(Aux_Listas!$A:$A))</definedName>
    <definedName name="Outras_Despesas">Aux_Listas!$Q$2:$Q$20</definedName>
    <definedName name="Outros">Aux_Listas!$Q$2:$Q$20</definedName>
    <definedName name="Previdência">Aux_Listas!$T$2:$T$20</definedName>
    <definedName name="Renda_Fixa">Aux_Listas!$R$2:$R$20</definedName>
    <definedName name="Renda_Variável">Aux_Listas!$S$2:$S$20</definedName>
    <definedName name="Rentda_Fixa">Aux_Listas!$R$2:$R$20</definedName>
    <definedName name="Salario">Aux_Listas!$B$2:$B$7</definedName>
    <definedName name="Salário">Aux_Listas!$B$2:$B$7</definedName>
    <definedName name="Saude">Aux_Listas!$J$2:$J$6</definedName>
    <definedName name="Saúde">Aux_Listas!$J$2:$J$20</definedName>
    <definedName name="Servico">Aux_Listas!$D$2:$D$2</definedName>
    <definedName name="tbReceitas">LAN_RECEITAS!$A$4:$E$57</definedName>
    <definedName name="_xlnm.Print_Titles" localSheetId="4">LAN_CARTOES!$1:$3</definedName>
    <definedName name="_xlnm.Print_Titles" localSheetId="3">LAN_DESPESAS!$1:$3</definedName>
    <definedName name="_xlnm.Print_Titles" localSheetId="2">LAN_RECEITAS!$1:$3</definedName>
    <definedName name="Trabalho">Aux_Listas!$N$2:$N$20</definedName>
    <definedName name="Transporte">Aux_Listas!$I$2:$I$20</definedName>
    <definedName name="Vestuario">Aux_Listas!$L$2:$L$4</definedName>
    <definedName name="Vestuário">Aux_Listas!$L$2:$L$20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5" i="22" l="1"/>
  <c r="S64" i="22"/>
  <c r="S63" i="22"/>
  <c r="S62" i="22"/>
  <c r="S61" i="22"/>
  <c r="S60" i="22"/>
  <c r="S59" i="22"/>
  <c r="S58" i="22"/>
  <c r="S57" i="22"/>
  <c r="S56" i="22"/>
  <c r="S55" i="22"/>
  <c r="S54" i="22"/>
  <c r="C27" i="22" a="1"/>
  <c r="C27" i="22" s="1"/>
  <c r="C42" i="22" a="1"/>
  <c r="C42" i="22" s="1"/>
  <c r="C41" i="22" a="1"/>
  <c r="C41" i="22" s="1"/>
  <c r="C40" i="22" a="1"/>
  <c r="C40" i="22" s="1"/>
  <c r="C39" i="22" a="1"/>
  <c r="C39" i="22" s="1"/>
  <c r="C38" i="22" a="1"/>
  <c r="C38" i="22" s="1"/>
  <c r="C37" i="22" a="1"/>
  <c r="C37" i="22" s="1"/>
  <c r="C36" i="22" a="1"/>
  <c r="C36" i="22" s="1"/>
  <c r="C35" i="22" a="1"/>
  <c r="C35" i="22" s="1"/>
  <c r="C34" i="22" a="1"/>
  <c r="C34" i="22" s="1"/>
  <c r="C33" i="22" a="1"/>
  <c r="C33" i="22" s="1"/>
  <c r="C32" i="22" a="1"/>
  <c r="C32" i="22" s="1"/>
  <c r="C22" i="28" a="1"/>
  <c r="C22" i="28" s="1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J3" i="28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1002" i="17"/>
  <c r="H1003" i="17"/>
  <c r="H1004" i="17"/>
  <c r="B4" i="25"/>
  <c r="B3" i="25" s="1"/>
  <c r="B42" i="22"/>
  <c r="B41" i="22"/>
  <c r="B40" i="22"/>
  <c r="B39" i="22"/>
  <c r="B38" i="22"/>
  <c r="B37" i="22"/>
  <c r="B36" i="22"/>
  <c r="B35" i="22"/>
  <c r="B34" i="22"/>
  <c r="B33" i="22"/>
  <c r="B32" i="22"/>
  <c r="B29" i="22"/>
  <c r="B28" i="22"/>
  <c r="B27" i="22"/>
  <c r="B26" i="22"/>
  <c r="B25" i="22"/>
  <c r="B20" i="25"/>
  <c r="B31" i="22" s="1"/>
  <c r="K2" i="28" a="1"/>
  <c r="K2" i="28" s="1"/>
  <c r="K3" i="28" a="1"/>
  <c r="K3" i="28" s="1"/>
  <c r="K4" i="28" a="1"/>
  <c r="K4" i="28" s="1"/>
  <c r="K6" i="28" a="1"/>
  <c r="K6" i="28" s="1"/>
  <c r="K13" i="28" a="1"/>
  <c r="K13" i="28" s="1"/>
  <c r="K14" i="28" a="1"/>
  <c r="K14" i="28" s="1"/>
  <c r="K15" i="28" a="1"/>
  <c r="K15" i="28" s="1"/>
  <c r="C79" i="22"/>
  <c r="B79" i="22"/>
  <c r="C78" i="22"/>
  <c r="B78" i="22"/>
  <c r="D18" i="28"/>
  <c r="T65" i="22" s="1"/>
  <c r="D17" i="28"/>
  <c r="T64" i="22" s="1"/>
  <c r="D16" i="28"/>
  <c r="T63" i="22" s="1"/>
  <c r="D15" i="28"/>
  <c r="T62" i="22" s="1"/>
  <c r="D14" i="28"/>
  <c r="T61" i="22" s="1"/>
  <c r="D13" i="28"/>
  <c r="T60" i="22" s="1"/>
  <c r="D12" i="28"/>
  <c r="T59" i="22" s="1"/>
  <c r="D11" i="28"/>
  <c r="T58" i="22" s="1"/>
  <c r="D10" i="28"/>
  <c r="T57" i="22" s="1"/>
  <c r="D9" i="28"/>
  <c r="T56" i="22" s="1"/>
  <c r="D8" i="28"/>
  <c r="T55" i="22" s="1"/>
  <c r="D7" i="28"/>
  <c r="T54" i="22" s="1"/>
  <c r="K1" i="17" l="1"/>
  <c r="L1" i="17" s="1"/>
  <c r="B24" i="22"/>
  <c r="B33" i="25"/>
  <c r="B32" i="25"/>
  <c r="B18" i="28"/>
  <c r="B17" i="28"/>
  <c r="B16" i="28"/>
  <c r="B15" i="28"/>
  <c r="B14" i="28"/>
  <c r="B13" i="28"/>
  <c r="B12" i="28"/>
  <c r="B11" i="28"/>
  <c r="B10" i="28"/>
  <c r="B9" i="28"/>
  <c r="B8" i="28"/>
  <c r="B7" i="28"/>
  <c r="C24" i="28"/>
  <c r="C2" i="25"/>
  <c r="D2" i="25"/>
  <c r="E2" i="25"/>
  <c r="F2" i="25"/>
  <c r="G2" i="25"/>
  <c r="H2" i="25"/>
  <c r="I2" i="25"/>
  <c r="J2" i="25"/>
  <c r="K2" i="25"/>
  <c r="L2" i="25"/>
  <c r="M2" i="25"/>
  <c r="N2" i="25"/>
  <c r="C31" i="22" a="1"/>
  <c r="C31" i="22" s="1"/>
  <c r="Q33" i="22"/>
  <c r="H24" i="28" l="1"/>
  <c r="N4" i="25"/>
  <c r="O31" i="25"/>
  <c r="P31" i="25" s="1"/>
  <c r="O29" i="25"/>
  <c r="P29" i="25" s="1"/>
  <c r="O25" i="25"/>
  <c r="P25" i="25" s="1"/>
  <c r="M20" i="25"/>
  <c r="L20" i="25"/>
  <c r="K20" i="25"/>
  <c r="J20" i="25"/>
  <c r="I20" i="25"/>
  <c r="H20" i="25"/>
  <c r="Q24" i="22"/>
  <c r="Q25" i="22"/>
  <c r="Q26" i="22"/>
  <c r="Q27" i="22"/>
  <c r="Q28" i="22"/>
  <c r="Q29" i="22"/>
  <c r="Q30" i="22"/>
  <c r="Q31" i="22"/>
  <c r="Q32" i="22"/>
  <c r="O27" i="25" l="1"/>
  <c r="P27" i="25" s="1"/>
  <c r="O28" i="25"/>
  <c r="P28" i="25" s="1"/>
  <c r="O24" i="25"/>
  <c r="P24" i="25" s="1"/>
  <c r="H4" i="25"/>
  <c r="H3" i="25" s="1"/>
  <c r="I4" i="25"/>
  <c r="I3" i="25" s="1"/>
  <c r="J4" i="25"/>
  <c r="J3" i="25" s="1"/>
  <c r="J32" i="25" s="1"/>
  <c r="K4" i="25"/>
  <c r="K3" i="25" s="1"/>
  <c r="K32" i="25" s="1"/>
  <c r="M4" i="25"/>
  <c r="M3" i="25" s="1"/>
  <c r="C77" i="22"/>
  <c r="B77" i="22"/>
  <c r="H25" i="28"/>
  <c r="C25" i="28"/>
  <c r="O23" i="25"/>
  <c r="P23" i="25" s="1"/>
  <c r="N20" i="25"/>
  <c r="E20" i="25"/>
  <c r="O14" i="25"/>
  <c r="P14" i="25" s="1"/>
  <c r="G20" i="25"/>
  <c r="O5" i="25"/>
  <c r="P5" i="25" s="1"/>
  <c r="L4" i="25"/>
  <c r="L3" i="25" s="1"/>
  <c r="L32" i="25" s="1"/>
  <c r="C4" i="25"/>
  <c r="C3" i="25" s="1"/>
  <c r="O6" i="25"/>
  <c r="P6" i="25" s="1"/>
  <c r="O8" i="25"/>
  <c r="P8" i="25" s="1"/>
  <c r="O9" i="25"/>
  <c r="P9" i="25" s="1"/>
  <c r="O10" i="25"/>
  <c r="P10" i="25" s="1"/>
  <c r="O11" i="25"/>
  <c r="P11" i="25" s="1"/>
  <c r="O12" i="25"/>
  <c r="P12" i="25" s="1"/>
  <c r="O13" i="25"/>
  <c r="P13" i="25" s="1"/>
  <c r="E4" i="25"/>
  <c r="E3" i="25" s="1"/>
  <c r="C20" i="25"/>
  <c r="D4" i="25"/>
  <c r="D3" i="25" s="1"/>
  <c r="D20" i="25"/>
  <c r="F4" i="25"/>
  <c r="F3" i="25" s="1"/>
  <c r="F20" i="25"/>
  <c r="G4" i="25"/>
  <c r="G3" i="25" s="1"/>
  <c r="O22" i="25"/>
  <c r="P22" i="25" s="1"/>
  <c r="O30" i="25"/>
  <c r="P30" i="25" s="1"/>
  <c r="O7" i="25"/>
  <c r="P7" i="25" s="1"/>
  <c r="N3" i="25"/>
  <c r="H32" i="25"/>
  <c r="I32" i="25"/>
  <c r="O26" i="25"/>
  <c r="P26" i="25" s="1"/>
  <c r="O21" i="25"/>
  <c r="P21" i="25" s="1"/>
  <c r="F32" i="25" l="1"/>
  <c r="D32" i="25"/>
  <c r="E32" i="25"/>
  <c r="N32" i="25"/>
  <c r="H26" i="28"/>
  <c r="C26" i="28"/>
  <c r="C32" i="25"/>
  <c r="M32" i="25"/>
  <c r="G32" i="25"/>
  <c r="O3" i="25"/>
  <c r="P3" i="25" s="1"/>
  <c r="O4" i="25"/>
  <c r="P4" i="25" s="1"/>
  <c r="O20" i="25"/>
  <c r="P20" i="25" s="1"/>
  <c r="H27" i="28" l="1"/>
  <c r="C27" i="28"/>
  <c r="O32" i="25"/>
  <c r="P32" i="25" s="1"/>
  <c r="H28" i="28" l="1"/>
  <c r="C28" i="28"/>
  <c r="H29" i="28" l="1"/>
  <c r="C29" i="28"/>
  <c r="H30" i="28" l="1"/>
  <c r="C30" i="28"/>
  <c r="H31" i="28" l="1"/>
  <c r="C31" i="28"/>
  <c r="H32" i="28" l="1"/>
  <c r="C32" i="28"/>
  <c r="H33" i="28" l="1"/>
  <c r="C33" i="28"/>
  <c r="H34" i="28" l="1"/>
  <c r="C34" i="28"/>
  <c r="H35" i="28" l="1"/>
  <c r="C35" i="28"/>
  <c r="H36" i="28" l="1"/>
  <c r="C36" i="28"/>
  <c r="H37" i="28" l="1"/>
  <c r="C37" i="28"/>
  <c r="H38" i="28" l="1"/>
  <c r="C38" i="28"/>
  <c r="H39" i="28" l="1"/>
  <c r="C39" i="28"/>
  <c r="H40" i="28" l="1"/>
  <c r="C40" i="28"/>
  <c r="H41" i="28" l="1"/>
  <c r="C41" i="28"/>
  <c r="H42" i="28" l="1"/>
  <c r="C42" i="28"/>
  <c r="H43" i="28" l="1"/>
  <c r="C43" i="28"/>
  <c r="H44" i="28" l="1"/>
  <c r="C44" i="28"/>
  <c r="H45" i="28" l="1"/>
  <c r="C45" i="28"/>
  <c r="H46" i="28" l="1"/>
  <c r="C46" i="28"/>
  <c r="H47" i="28" l="1"/>
  <c r="C47" i="28"/>
  <c r="H48" i="28" l="1"/>
  <c r="C48" i="28"/>
  <c r="H49" i="28" l="1"/>
  <c r="C49" i="28"/>
  <c r="H50" i="28" l="1"/>
  <c r="C50" i="28"/>
  <c r="H51" i="28" l="1"/>
  <c r="C51" i="28"/>
  <c r="H52" i="28" l="1"/>
  <c r="H53" i="28"/>
  <c r="C52" i="28"/>
  <c r="C53" i="28" l="1"/>
  <c r="A7" i="22" l="1" a="1"/>
  <c r="A7" i="22" s="1"/>
  <c r="E29" i="28" a="1"/>
  <c r="E29" i="28" s="1"/>
  <c r="E35" i="28" a="1"/>
  <c r="E35" i="28" s="1"/>
  <c r="E47" i="28" a="1"/>
  <c r="E47" i="28" s="1"/>
  <c r="D7" i="22" a="1"/>
  <c r="D7" i="22" s="1"/>
  <c r="D29" i="28" a="1"/>
  <c r="D29" i="28" s="1"/>
  <c r="D35" i="28" a="1"/>
  <c r="D35" i="28" s="1"/>
  <c r="D47" i="28" a="1"/>
  <c r="D47" i="28" s="1"/>
  <c r="E24" i="28" a="1"/>
  <c r="E24" i="28" s="1"/>
  <c r="E30" i="28" a="1"/>
  <c r="E30" i="28" s="1"/>
  <c r="E36" i="28" a="1"/>
  <c r="E36" i="28" s="1"/>
  <c r="E42" i="28" a="1"/>
  <c r="E42" i="28" s="1"/>
  <c r="D24" i="28" a="1"/>
  <c r="D24" i="28" s="1"/>
  <c r="D30" i="28" a="1"/>
  <c r="D30" i="28" s="1"/>
  <c r="D36" i="28" a="1"/>
  <c r="D36" i="28" s="1"/>
  <c r="D42" i="28" a="1"/>
  <c r="D42" i="28" s="1"/>
  <c r="D48" i="28" a="1"/>
  <c r="D48" i="28" s="1"/>
  <c r="E43" i="28" a="1"/>
  <c r="E43" i="28" s="1"/>
  <c r="D41" i="28" a="1"/>
  <c r="D41" i="28" s="1"/>
  <c r="E25" i="28" a="1"/>
  <c r="E25" i="28" s="1"/>
  <c r="E31" i="28" a="1"/>
  <c r="E31" i="28" s="1"/>
  <c r="E37" i="28" a="1"/>
  <c r="E37" i="28" s="1"/>
  <c r="E49" i="28" a="1"/>
  <c r="E49" i="28" s="1"/>
  <c r="D25" i="28" a="1"/>
  <c r="D25" i="28" s="1"/>
  <c r="D31" i="28" a="1"/>
  <c r="D31" i="28" s="1"/>
  <c r="D37" i="28" a="1"/>
  <c r="D37" i="28" s="1"/>
  <c r="D43" i="28" a="1"/>
  <c r="D43" i="28" s="1"/>
  <c r="D49" i="28" a="1"/>
  <c r="D49" i="28" s="1"/>
  <c r="E44" i="28" a="1"/>
  <c r="E44" i="28" s="1"/>
  <c r="E48" i="28" a="1"/>
  <c r="E48" i="28" s="1"/>
  <c r="E26" i="28" a="1"/>
  <c r="E26" i="28" s="1"/>
  <c r="E32" i="28" a="1"/>
  <c r="E32" i="28" s="1"/>
  <c r="E38" i="28" a="1"/>
  <c r="E38" i="28" s="1"/>
  <c r="E50" i="28" a="1"/>
  <c r="E50" i="28" s="1"/>
  <c r="D26" i="28" a="1"/>
  <c r="D26" i="28" s="1"/>
  <c r="D32" i="28" a="1"/>
  <c r="D32" i="28" s="1"/>
  <c r="D38" i="28" a="1"/>
  <c r="D38" i="28" s="1"/>
  <c r="D44" i="28" a="1"/>
  <c r="D44" i="28" s="1"/>
  <c r="D50" i="28" a="1"/>
  <c r="D50" i="28" s="1"/>
  <c r="E45" i="28" a="1"/>
  <c r="E45" i="28" s="1"/>
  <c r="D53" i="28" a="1"/>
  <c r="D53" i="28" s="1"/>
  <c r="E27" i="28" a="1"/>
  <c r="E27" i="28" s="1"/>
  <c r="E33" i="28" a="1"/>
  <c r="E33" i="28" s="1"/>
  <c r="E39" i="28" a="1"/>
  <c r="E39" i="28" s="1"/>
  <c r="E51" i="28" a="1"/>
  <c r="E51" i="28" s="1"/>
  <c r="D27" i="28" a="1"/>
  <c r="D27" i="28" s="1"/>
  <c r="D33" i="28" a="1"/>
  <c r="D33" i="28" s="1"/>
  <c r="D39" i="28" a="1"/>
  <c r="D39" i="28" s="1"/>
  <c r="D45" i="28" a="1"/>
  <c r="D45" i="28" s="1"/>
  <c r="D51" i="28" a="1"/>
  <c r="D51" i="28" s="1"/>
  <c r="E46" i="28" a="1"/>
  <c r="E46" i="28" s="1"/>
  <c r="E28" i="28" a="1"/>
  <c r="E28" i="28" s="1"/>
  <c r="E34" i="28" a="1"/>
  <c r="E34" i="28" s="1"/>
  <c r="E40" i="28" a="1"/>
  <c r="E40" i="28" s="1"/>
  <c r="E52" i="28" a="1"/>
  <c r="E52" i="28" s="1"/>
  <c r="D28" i="28" a="1"/>
  <c r="D28" i="28" s="1"/>
  <c r="D34" i="28" a="1"/>
  <c r="D34" i="28" s="1"/>
  <c r="D40" i="28" a="1"/>
  <c r="D40" i="28" s="1"/>
  <c r="D46" i="28" a="1"/>
  <c r="D46" i="28" s="1"/>
  <c r="D52" i="28" a="1"/>
  <c r="D52" i="28" s="1"/>
  <c r="E41" i="28" a="1"/>
  <c r="E41" i="28" s="1"/>
  <c r="E53" i="28" a="1"/>
  <c r="E53" i="28" s="1"/>
  <c r="E18" i="28" a="1"/>
  <c r="E18" i="28" s="1"/>
  <c r="C18" i="28" a="1"/>
  <c r="C18" i="28" s="1"/>
  <c r="E17" i="28" a="1"/>
  <c r="E17" i="28" s="1"/>
  <c r="C17" i="28" a="1"/>
  <c r="C17" i="28" s="1"/>
  <c r="E16" i="28" a="1"/>
  <c r="E16" i="28" s="1"/>
  <c r="C16" i="28" a="1"/>
  <c r="C16" i="28" s="1"/>
  <c r="E15" i="28" a="1"/>
  <c r="E15" i="28" s="1"/>
  <c r="C15" i="28" a="1"/>
  <c r="C15" i="28" s="1"/>
  <c r="E14" i="28" a="1"/>
  <c r="E14" i="28" s="1"/>
  <c r="C14" i="28" a="1"/>
  <c r="C14" i="28" s="1"/>
  <c r="E13" i="28" a="1"/>
  <c r="E13" i="28" s="1"/>
  <c r="C13" i="28" a="1"/>
  <c r="C13" i="28" s="1"/>
  <c r="E12" i="28" a="1"/>
  <c r="E12" i="28" s="1"/>
  <c r="C12" i="28" a="1"/>
  <c r="C12" i="28" s="1"/>
  <c r="E11" i="28" a="1"/>
  <c r="E11" i="28" s="1"/>
  <c r="C11" i="28" a="1"/>
  <c r="C11" i="28" s="1"/>
  <c r="E10" i="28" a="1"/>
  <c r="E10" i="28" s="1"/>
  <c r="C10" i="28" a="1"/>
  <c r="C10" i="28" s="1"/>
  <c r="E9" i="28" a="1"/>
  <c r="E9" i="28" s="1"/>
  <c r="C9" i="28" a="1"/>
  <c r="C9" i="28" s="1"/>
  <c r="E8" i="28" a="1"/>
  <c r="E8" i="28" s="1"/>
  <c r="C8" i="28" a="1"/>
  <c r="C8" i="28" s="1"/>
  <c r="E7" i="28" a="1"/>
  <c r="E7" i="28" s="1"/>
  <c r="C7" i="28" a="1"/>
  <c r="C7" i="28" s="1"/>
  <c r="B22" i="24"/>
  <c r="M25" i="24" s="1"/>
  <c r="M26" i="24" s="1"/>
  <c r="M27" i="24" s="1"/>
  <c r="M28" i="24" s="1"/>
  <c r="M29" i="24" s="1"/>
  <c r="M30" i="24" s="1"/>
  <c r="M31" i="24" s="1"/>
  <c r="M32" i="24" s="1"/>
  <c r="C99" i="22" a="1"/>
  <c r="C99" i="22" s="1"/>
  <c r="C98" i="22" a="1"/>
  <c r="C98" i="22" s="1"/>
  <c r="C97" i="22" a="1"/>
  <c r="C97" i="22" s="1"/>
  <c r="C96" i="22" a="1"/>
  <c r="C96" i="22" s="1"/>
  <c r="C95" i="22" a="1"/>
  <c r="C95" i="22" s="1"/>
  <c r="C94" i="22" a="1"/>
  <c r="C94" i="22" s="1"/>
  <c r="C93" i="22" a="1"/>
  <c r="C93" i="22" s="1"/>
  <c r="C92" i="22" a="1"/>
  <c r="C92" i="22" s="1"/>
  <c r="C91" i="22" a="1"/>
  <c r="C91" i="22" s="1"/>
  <c r="C90" i="22" a="1"/>
  <c r="C90" i="22" s="1"/>
  <c r="C89" i="22" a="1"/>
  <c r="C89" i="22" s="1"/>
  <c r="C88" i="22" a="1"/>
  <c r="C88" i="22" s="1"/>
  <c r="B99" i="22" a="1"/>
  <c r="B99" i="22" s="1"/>
  <c r="D99" i="22" s="1"/>
  <c r="B98" i="22" a="1"/>
  <c r="B98" i="22" s="1"/>
  <c r="D98" i="22" s="1"/>
  <c r="B97" i="22" a="1"/>
  <c r="B97" i="22" s="1"/>
  <c r="D97" i="22" s="1"/>
  <c r="B96" i="22" a="1"/>
  <c r="B96" i="22" s="1"/>
  <c r="D96" i="22" s="1"/>
  <c r="B95" i="22" a="1"/>
  <c r="B95" i="22" s="1"/>
  <c r="D95" i="22" s="1"/>
  <c r="B94" i="22" a="1"/>
  <c r="B94" i="22" s="1"/>
  <c r="D94" i="22" s="1"/>
  <c r="B93" i="22" a="1"/>
  <c r="B93" i="22" s="1"/>
  <c r="B92" i="22" a="1"/>
  <c r="B92" i="22" s="1"/>
  <c r="D92" i="22" s="1"/>
  <c r="B91" i="22" a="1"/>
  <c r="B91" i="22" s="1"/>
  <c r="B90" i="22" a="1"/>
  <c r="B90" i="22" s="1"/>
  <c r="D90" i="22" s="1"/>
  <c r="B89" i="22" a="1"/>
  <c r="B89" i="22" s="1"/>
  <c r="B88" i="22" a="1"/>
  <c r="B88" i="22" s="1"/>
  <c r="J25" i="8" a="1"/>
  <c r="J25" i="8" s="1"/>
  <c r="J24" i="8" a="1"/>
  <c r="J24" i="8" s="1"/>
  <c r="J23" i="8" a="1"/>
  <c r="J23" i="8" s="1"/>
  <c r="J22" i="8" a="1"/>
  <c r="J22" i="8" s="1"/>
  <c r="J21" i="8" a="1"/>
  <c r="J21" i="8" s="1"/>
  <c r="J20" i="8" a="1"/>
  <c r="J20" i="8" s="1"/>
  <c r="J19" i="8" a="1"/>
  <c r="J19" i="8" s="1"/>
  <c r="J18" i="8" a="1"/>
  <c r="J18" i="8" s="1"/>
  <c r="J17" i="8" a="1"/>
  <c r="J17" i="8" s="1"/>
  <c r="J16" i="8" a="1"/>
  <c r="J16" i="8" s="1"/>
  <c r="J15" i="8" a="1"/>
  <c r="J15" i="8" s="1"/>
  <c r="J14" i="8" a="1"/>
  <c r="J14" i="8" s="1"/>
  <c r="I25" i="8" a="1"/>
  <c r="I25" i="8" s="1"/>
  <c r="K25" i="8" s="1"/>
  <c r="I24" i="8" a="1"/>
  <c r="I24" i="8" s="1"/>
  <c r="K24" i="8" s="1"/>
  <c r="I23" i="8" a="1"/>
  <c r="I23" i="8" s="1"/>
  <c r="K23" i="8" s="1"/>
  <c r="I22" i="8" a="1"/>
  <c r="I22" i="8" s="1"/>
  <c r="I21" i="8" a="1"/>
  <c r="I21" i="8" s="1"/>
  <c r="I20" i="8" a="1"/>
  <c r="I20" i="8" s="1"/>
  <c r="K20" i="8" s="1"/>
  <c r="I19" i="8" a="1"/>
  <c r="I19" i="8" s="1"/>
  <c r="K19" i="8" s="1"/>
  <c r="I18" i="8" a="1"/>
  <c r="I18" i="8" s="1"/>
  <c r="K18" i="8" s="1"/>
  <c r="I17" i="8" a="1"/>
  <c r="I17" i="8" s="1"/>
  <c r="K17" i="8" s="1"/>
  <c r="I16" i="8" a="1"/>
  <c r="I16" i="8" s="1"/>
  <c r="K16" i="8" s="1"/>
  <c r="I15" i="8" a="1"/>
  <c r="I15" i="8" s="1"/>
  <c r="K15" i="8" s="1"/>
  <c r="I14" i="8" a="1"/>
  <c r="I14" i="8" s="1"/>
  <c r="C29" i="22" a="1"/>
  <c r="C29" i="22" s="1"/>
  <c r="C28" i="22" a="1"/>
  <c r="C28" i="22" s="1"/>
  <c r="C26" i="22" a="1"/>
  <c r="C26" i="22" s="1"/>
  <c r="C25" i="22" a="1"/>
  <c r="C25" i="22" s="1"/>
  <c r="C24" i="22" a="1"/>
  <c r="C24" i="22" s="1"/>
  <c r="A18" i="28"/>
  <c r="A17" i="28"/>
  <c r="A16" i="28"/>
  <c r="A15" i="28"/>
  <c r="A14" i="28"/>
  <c r="A13" i="28"/>
  <c r="A12" i="28"/>
  <c r="A11" i="28"/>
  <c r="A10" i="28"/>
  <c r="A9" i="28"/>
  <c r="A8" i="28"/>
  <c r="A7" i="28"/>
  <c r="J7" i="22" a="1"/>
  <c r="J7" i="22" s="1"/>
  <c r="D93" i="22" l="1"/>
  <c r="F43" i="28"/>
  <c r="K21" i="8"/>
  <c r="E15" i="25"/>
  <c r="E33" i="25" s="1"/>
  <c r="I15" i="25"/>
  <c r="I33" i="25" s="1"/>
  <c r="J15" i="25"/>
  <c r="J33" i="25" s="1"/>
  <c r="M15" i="25"/>
  <c r="M33" i="25" s="1"/>
  <c r="H15" i="25"/>
  <c r="H33" i="25" s="1"/>
  <c r="F36" i="28"/>
  <c r="F49" i="28"/>
  <c r="F25" i="28"/>
  <c r="F26" i="28"/>
  <c r="F37" i="28"/>
  <c r="F30" i="28"/>
  <c r="F33" i="28"/>
  <c r="F27" i="28"/>
  <c r="F28" i="28"/>
  <c r="F48" i="28"/>
  <c r="F42" i="28"/>
  <c r="F45" i="28"/>
  <c r="F31" i="28"/>
  <c r="F24" i="28"/>
  <c r="F52" i="28"/>
  <c r="F39" i="28"/>
  <c r="F32" i="28"/>
  <c r="F46" i="28"/>
  <c r="F40" i="28"/>
  <c r="F34" i="28"/>
  <c r="F47" i="28"/>
  <c r="F41" i="28"/>
  <c r="F35" i="28"/>
  <c r="F29" i="28"/>
  <c r="D54" i="28"/>
  <c r="F53" i="28"/>
  <c r="F50" i="28"/>
  <c r="E54" i="28"/>
  <c r="F51" i="28"/>
  <c r="F44" i="28"/>
  <c r="F38" i="28"/>
  <c r="B76" i="22"/>
  <c r="C76" i="22" s="1"/>
  <c r="D89" i="22"/>
  <c r="D91" i="22"/>
  <c r="K25" i="24"/>
  <c r="K26" i="24" s="1"/>
  <c r="K27" i="24" s="1"/>
  <c r="K28" i="24" s="1"/>
  <c r="K29" i="24" s="1"/>
  <c r="K30" i="24" s="1"/>
  <c r="K31" i="24" s="1"/>
  <c r="K32" i="24" s="1"/>
  <c r="L25" i="24"/>
  <c r="L26" i="24" s="1"/>
  <c r="L27" i="24" s="1"/>
  <c r="L28" i="24" s="1"/>
  <c r="L29" i="24" s="1"/>
  <c r="L30" i="24" s="1"/>
  <c r="L31" i="24" s="1"/>
  <c r="L32" i="24" s="1"/>
  <c r="M33" i="24"/>
  <c r="M34" i="24" s="1"/>
  <c r="K22" i="8"/>
  <c r="I26" i="8"/>
  <c r="J26" i="8"/>
  <c r="B100" i="22"/>
  <c r="C100" i="22"/>
  <c r="J8" i="8" a="1"/>
  <c r="J8" i="8" s="1"/>
  <c r="J9" i="8" a="1"/>
  <c r="J9" i="8" s="1"/>
  <c r="K14" i="8"/>
  <c r="D88" i="22"/>
  <c r="J7" i="8" a="1"/>
  <c r="J7" i="8" s="1"/>
  <c r="I6" i="8" a="1"/>
  <c r="I6" i="8" s="1"/>
  <c r="I7" i="8" a="1"/>
  <c r="I7" i="8" s="1"/>
  <c r="I8" i="8" a="1"/>
  <c r="I8" i="8" s="1"/>
  <c r="I9" i="8" a="1"/>
  <c r="I9" i="8" s="1"/>
  <c r="J6" i="8" a="1"/>
  <c r="J6" i="8" s="1"/>
  <c r="E19" i="28"/>
  <c r="D19" i="28"/>
  <c r="B19" i="28"/>
  <c r="C19" i="28"/>
  <c r="F15" i="28"/>
  <c r="F8" i="28"/>
  <c r="F18" i="28"/>
  <c r="F13" i="28"/>
  <c r="F16" i="28"/>
  <c r="F10" i="28"/>
  <c r="F11" i="28"/>
  <c r="F17" i="28"/>
  <c r="F7" i="28"/>
  <c r="G7" i="28" s="1"/>
  <c r="F14" i="28"/>
  <c r="F9" i="28"/>
  <c r="F12" i="28"/>
  <c r="M7" i="22"/>
  <c r="G7" i="22"/>
  <c r="H7" i="28" l="1"/>
  <c r="Y55" i="22"/>
  <c r="N15" i="25"/>
  <c r="O17" i="25"/>
  <c r="P17" i="25" s="1"/>
  <c r="C15" i="25"/>
  <c r="C33" i="25" s="1"/>
  <c r="O16" i="25"/>
  <c r="P16" i="25" s="1"/>
  <c r="G15" i="25"/>
  <c r="G33" i="25" s="1"/>
  <c r="F15" i="25"/>
  <c r="F33" i="25" s="1"/>
  <c r="O18" i="25"/>
  <c r="P18" i="25" s="1"/>
  <c r="K15" i="25"/>
  <c r="K33" i="25" s="1"/>
  <c r="L15" i="25"/>
  <c r="L33" i="25" s="1"/>
  <c r="N33" i="25"/>
  <c r="D15" i="25"/>
  <c r="D33" i="25" s="1"/>
  <c r="O19" i="25"/>
  <c r="P19" i="25" s="1"/>
  <c r="F54" i="28"/>
  <c r="K8" i="8"/>
  <c r="K9" i="8"/>
  <c r="A52" i="24"/>
  <c r="A42" i="24"/>
  <c r="J10" i="8"/>
  <c r="K7" i="8"/>
  <c r="I10" i="8"/>
  <c r="K6" i="8"/>
  <c r="D100" i="22"/>
  <c r="E88" i="22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K26" i="8"/>
  <c r="L14" i="8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30" i="8" s="1"/>
  <c r="A53" i="24"/>
  <c r="F19" i="28"/>
  <c r="G8" i="28"/>
  <c r="A27" i="24"/>
  <c r="G9" i="28" l="1"/>
  <c r="Y57" i="22" s="1"/>
  <c r="Y56" i="22"/>
  <c r="L9" i="8"/>
  <c r="O15" i="25"/>
  <c r="P15" i="25" s="1"/>
  <c r="O33" i="25"/>
  <c r="P33" i="25" s="1"/>
  <c r="C52" i="24"/>
  <c r="D52" i="24"/>
  <c r="C65" i="24" s="1"/>
  <c r="C53" i="24"/>
  <c r="D53" i="24"/>
  <c r="C42" i="24"/>
  <c r="D42" i="24"/>
  <c r="C64" i="24" s="1"/>
  <c r="C27" i="24"/>
  <c r="D27" i="24"/>
  <c r="C63" i="24" s="1"/>
  <c r="A43" i="24"/>
  <c r="D43" i="24" s="1"/>
  <c r="L7" i="8"/>
  <c r="E42" i="24"/>
  <c r="E52" i="24"/>
  <c r="B42" i="24"/>
  <c r="B52" i="24"/>
  <c r="F53" i="24"/>
  <c r="F42" i="24"/>
  <c r="F52" i="24"/>
  <c r="E65" i="24" s="1"/>
  <c r="L6" i="8"/>
  <c r="K10" i="8"/>
  <c r="L8" i="8"/>
  <c r="E53" i="24"/>
  <c r="B53" i="24"/>
  <c r="B27" i="24"/>
  <c r="H8" i="28"/>
  <c r="H9" i="28"/>
  <c r="G10" i="28"/>
  <c r="B64" i="24"/>
  <c r="B63" i="24"/>
  <c r="F27" i="24"/>
  <c r="E63" i="24" s="1"/>
  <c r="A28" i="24"/>
  <c r="E27" i="24"/>
  <c r="D63" i="24" s="1"/>
  <c r="K1" i="28" l="1" a="1"/>
  <c r="K1" i="28" s="1"/>
  <c r="K5" i="28" s="1"/>
  <c r="Y58" i="22"/>
  <c r="G24" i="28"/>
  <c r="G25" i="28" s="1"/>
  <c r="G26" i="28" s="1"/>
  <c r="G27" i="28" s="1"/>
  <c r="G28" i="28" s="1"/>
  <c r="G29" i="28" s="1"/>
  <c r="G30" i="28" s="1"/>
  <c r="G31" i="28" s="1"/>
  <c r="G32" i="28" s="1"/>
  <c r="G33" i="28" s="1"/>
  <c r="G34" i="28" s="1"/>
  <c r="G35" i="28" s="1"/>
  <c r="G36" i="28" s="1"/>
  <c r="G37" i="28" s="1"/>
  <c r="G38" i="28" s="1"/>
  <c r="G39" i="28" s="1"/>
  <c r="G40" i="28" s="1"/>
  <c r="G41" i="28" s="1"/>
  <c r="G42" i="28" s="1"/>
  <c r="G43" i="28" s="1"/>
  <c r="G44" i="28" s="1"/>
  <c r="G45" i="28" s="1"/>
  <c r="G46" i="28" s="1"/>
  <c r="G47" i="28" s="1"/>
  <c r="G48" i="28" s="1"/>
  <c r="G49" i="28" s="1"/>
  <c r="G50" i="28" s="1"/>
  <c r="G51" i="28" s="1"/>
  <c r="G52" i="28" s="1"/>
  <c r="G53" i="28" s="1"/>
  <c r="G54" i="28" s="1"/>
  <c r="B43" i="24"/>
  <c r="E43" i="24"/>
  <c r="F43" i="24"/>
  <c r="C43" i="24"/>
  <c r="C28" i="24"/>
  <c r="D28" i="24"/>
  <c r="A44" i="24"/>
  <c r="D44" i="24" s="1"/>
  <c r="L10" i="8"/>
  <c r="B65" i="24"/>
  <c r="E64" i="24"/>
  <c r="D64" i="24"/>
  <c r="D65" i="24"/>
  <c r="B28" i="24"/>
  <c r="G11" i="28"/>
  <c r="Y59" i="22" s="1"/>
  <c r="H10" i="28"/>
  <c r="F28" i="24"/>
  <c r="C68" i="24"/>
  <c r="A29" i="24"/>
  <c r="E28" i="24"/>
  <c r="B44" i="24" l="1"/>
  <c r="E44" i="24"/>
  <c r="F44" i="24"/>
  <c r="C44" i="24"/>
  <c r="C29" i="24"/>
  <c r="D29" i="24"/>
  <c r="A45" i="24"/>
  <c r="F45" i="24" s="1"/>
  <c r="B29" i="24"/>
  <c r="H11" i="28"/>
  <c r="G12" i="28"/>
  <c r="Y60" i="22" s="1"/>
  <c r="F29" i="24"/>
  <c r="A30" i="24"/>
  <c r="E29" i="24"/>
  <c r="D32" i="22"/>
  <c r="B45" i="24" l="1"/>
  <c r="E45" i="24"/>
  <c r="C45" i="24"/>
  <c r="D45" i="24"/>
  <c r="C30" i="24"/>
  <c r="D30" i="24"/>
  <c r="A46" i="24"/>
  <c r="D46" i="24" s="1"/>
  <c r="D34" i="22"/>
  <c r="F34" i="22" s="1"/>
  <c r="B30" i="24"/>
  <c r="F32" i="22"/>
  <c r="E32" i="22"/>
  <c r="D36" i="22"/>
  <c r="D33" i="22"/>
  <c r="D39" i="22"/>
  <c r="D40" i="22"/>
  <c r="D41" i="22"/>
  <c r="D27" i="22"/>
  <c r="D42" i="22"/>
  <c r="D38" i="22"/>
  <c r="D29" i="22"/>
  <c r="D28" i="22"/>
  <c r="D37" i="22"/>
  <c r="D35" i="22"/>
  <c r="H12" i="28"/>
  <c r="G13" i="28"/>
  <c r="Y61" i="22" s="1"/>
  <c r="F30" i="24"/>
  <c r="A31" i="24"/>
  <c r="E30" i="24"/>
  <c r="B46" i="24" l="1"/>
  <c r="E46" i="24"/>
  <c r="F46" i="24"/>
  <c r="C46" i="24"/>
  <c r="C31" i="24"/>
  <c r="D31" i="24"/>
  <c r="A47" i="24"/>
  <c r="D47" i="24" s="1"/>
  <c r="E34" i="22"/>
  <c r="B31" i="24"/>
  <c r="F37" i="22"/>
  <c r="E37" i="22"/>
  <c r="F38" i="22"/>
  <c r="E38" i="22"/>
  <c r="E40" i="22"/>
  <c r="F40" i="22"/>
  <c r="F28" i="22"/>
  <c r="E28" i="22"/>
  <c r="F42" i="22"/>
  <c r="E42" i="22"/>
  <c r="F39" i="22"/>
  <c r="E39" i="22"/>
  <c r="F33" i="22"/>
  <c r="E33" i="22"/>
  <c r="D31" i="22"/>
  <c r="F31" i="22" s="1"/>
  <c r="E31" i="22"/>
  <c r="E27" i="22"/>
  <c r="F27" i="22"/>
  <c r="F36" i="22"/>
  <c r="E36" i="22"/>
  <c r="F35" i="22"/>
  <c r="E35" i="22"/>
  <c r="E29" i="22"/>
  <c r="F29" i="22"/>
  <c r="E41" i="22"/>
  <c r="F41" i="22"/>
  <c r="G14" i="28"/>
  <c r="Y62" i="22" s="1"/>
  <c r="H13" i="28"/>
  <c r="F31" i="24"/>
  <c r="A32" i="24"/>
  <c r="E31" i="24"/>
  <c r="A2" i="20"/>
  <c r="C2" i="20" s="1"/>
  <c r="F47" i="24" l="1"/>
  <c r="B47" i="24"/>
  <c r="C47" i="24"/>
  <c r="C32" i="24"/>
  <c r="D32" i="24"/>
  <c r="L33" i="24"/>
  <c r="L34" i="24" s="1"/>
  <c r="K33" i="24"/>
  <c r="K34" i="24" s="1"/>
  <c r="A48" i="24"/>
  <c r="F48" i="24" s="1"/>
  <c r="E47" i="24"/>
  <c r="B32" i="24"/>
  <c r="H14" i="28"/>
  <c r="G15" i="28"/>
  <c r="Y63" i="22" s="1"/>
  <c r="F32" i="24"/>
  <c r="A33" i="24"/>
  <c r="E32" i="24"/>
  <c r="B2" i="20"/>
  <c r="G2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2" i="20" s="1"/>
  <c r="A373" i="20" s="1"/>
  <c r="A374" i="20" s="1"/>
  <c r="A375" i="20" s="1"/>
  <c r="A376" i="20" s="1"/>
  <c r="A377" i="20" s="1"/>
  <c r="A378" i="20" s="1"/>
  <c r="A379" i="20" s="1"/>
  <c r="A380" i="20" s="1"/>
  <c r="A381" i="20" s="1"/>
  <c r="A382" i="20" s="1"/>
  <c r="A383" i="20" s="1"/>
  <c r="A384" i="20" s="1"/>
  <c r="A385" i="20" s="1"/>
  <c r="A386" i="20" s="1"/>
  <c r="A387" i="20" s="1"/>
  <c r="A388" i="20" s="1"/>
  <c r="A389" i="20" s="1"/>
  <c r="A390" i="20" s="1"/>
  <c r="A391" i="20" s="1"/>
  <c r="A392" i="20" s="1"/>
  <c r="A393" i="20" s="1"/>
  <c r="A394" i="20" s="1"/>
  <c r="A395" i="20" s="1"/>
  <c r="A396" i="20" s="1"/>
  <c r="A397" i="20" s="1"/>
  <c r="A398" i="20" s="1"/>
  <c r="A399" i="20" s="1"/>
  <c r="A400" i="20" s="1"/>
  <c r="A401" i="20" s="1"/>
  <c r="A402" i="20" s="1"/>
  <c r="A403" i="20" s="1"/>
  <c r="A404" i="20" s="1"/>
  <c r="A405" i="20" s="1"/>
  <c r="A406" i="20" s="1"/>
  <c r="A407" i="20" s="1"/>
  <c r="A408" i="20" s="1"/>
  <c r="A409" i="20" s="1"/>
  <c r="A410" i="20" s="1"/>
  <c r="A411" i="20" s="1"/>
  <c r="A412" i="20" s="1"/>
  <c r="A413" i="20" s="1"/>
  <c r="A414" i="20" s="1"/>
  <c r="A415" i="20" s="1"/>
  <c r="A416" i="20" s="1"/>
  <c r="A417" i="20" s="1"/>
  <c r="A418" i="20" s="1"/>
  <c r="A419" i="20" s="1"/>
  <c r="A420" i="20" s="1"/>
  <c r="A421" i="20" s="1"/>
  <c r="A422" i="20" s="1"/>
  <c r="A423" i="20" s="1"/>
  <c r="A424" i="20" s="1"/>
  <c r="A425" i="20" s="1"/>
  <c r="A426" i="20" s="1"/>
  <c r="A427" i="20" s="1"/>
  <c r="A428" i="20" s="1"/>
  <c r="A429" i="20" s="1"/>
  <c r="A430" i="20" s="1"/>
  <c r="A431" i="20" s="1"/>
  <c r="A432" i="20" s="1"/>
  <c r="A433" i="20" s="1"/>
  <c r="A434" i="20" s="1"/>
  <c r="A435" i="20" s="1"/>
  <c r="A436" i="20" s="1"/>
  <c r="A437" i="20" s="1"/>
  <c r="A438" i="20" s="1"/>
  <c r="A439" i="20" s="1"/>
  <c r="A440" i="20" s="1"/>
  <c r="A441" i="20" s="1"/>
  <c r="A442" i="20" s="1"/>
  <c r="A443" i="20" s="1"/>
  <c r="A444" i="20" s="1"/>
  <c r="A445" i="20" s="1"/>
  <c r="A446" i="20" s="1"/>
  <c r="A447" i="20" s="1"/>
  <c r="A448" i="20" s="1"/>
  <c r="A449" i="20" s="1"/>
  <c r="A450" i="20" s="1"/>
  <c r="A451" i="20" s="1"/>
  <c r="A452" i="20" s="1"/>
  <c r="A453" i="20" s="1"/>
  <c r="A454" i="20" s="1"/>
  <c r="A455" i="20" s="1"/>
  <c r="A456" i="20" s="1"/>
  <c r="A457" i="20" s="1"/>
  <c r="A458" i="20" s="1"/>
  <c r="A459" i="20" s="1"/>
  <c r="A460" i="20" s="1"/>
  <c r="A461" i="20" s="1"/>
  <c r="A462" i="20" s="1"/>
  <c r="A463" i="20" s="1"/>
  <c r="A464" i="20" s="1"/>
  <c r="A465" i="20" s="1"/>
  <c r="A466" i="20" s="1"/>
  <c r="A467" i="20" s="1"/>
  <c r="A468" i="20" s="1"/>
  <c r="A469" i="20" s="1"/>
  <c r="A470" i="20" s="1"/>
  <c r="A471" i="20" s="1"/>
  <c r="A472" i="20" s="1"/>
  <c r="A473" i="20" s="1"/>
  <c r="A474" i="20" s="1"/>
  <c r="A475" i="20" s="1"/>
  <c r="A476" i="20" s="1"/>
  <c r="A477" i="20" s="1"/>
  <c r="A478" i="20" s="1"/>
  <c r="A479" i="20" s="1"/>
  <c r="A480" i="20" s="1"/>
  <c r="A481" i="20" s="1"/>
  <c r="A482" i="20" s="1"/>
  <c r="A483" i="20" s="1"/>
  <c r="A484" i="20" s="1"/>
  <c r="A485" i="20" s="1"/>
  <c r="A486" i="20" s="1"/>
  <c r="A487" i="20" s="1"/>
  <c r="A488" i="20" s="1"/>
  <c r="A489" i="20" s="1"/>
  <c r="A490" i="20" s="1"/>
  <c r="A491" i="20" s="1"/>
  <c r="A492" i="20" s="1"/>
  <c r="A493" i="20" s="1"/>
  <c r="A494" i="20" s="1"/>
  <c r="A495" i="20" s="1"/>
  <c r="A496" i="20" s="1"/>
  <c r="A497" i="20" s="1"/>
  <c r="A498" i="20" s="1"/>
  <c r="A499" i="20" s="1"/>
  <c r="A500" i="20" s="1"/>
  <c r="A501" i="20" s="1"/>
  <c r="A502" i="20" s="1"/>
  <c r="A503" i="20" s="1"/>
  <c r="A504" i="20" s="1"/>
  <c r="A505" i="20" s="1"/>
  <c r="A506" i="20" s="1"/>
  <c r="A507" i="20" s="1"/>
  <c r="A508" i="20" s="1"/>
  <c r="A509" i="20" s="1"/>
  <c r="A510" i="20" s="1"/>
  <c r="A511" i="20" s="1"/>
  <c r="A512" i="20" s="1"/>
  <c r="A513" i="20" s="1"/>
  <c r="A514" i="20" s="1"/>
  <c r="A515" i="20" s="1"/>
  <c r="A516" i="20" s="1"/>
  <c r="A517" i="20" s="1"/>
  <c r="A518" i="20" s="1"/>
  <c r="A519" i="20" s="1"/>
  <c r="A520" i="20" s="1"/>
  <c r="A521" i="20" s="1"/>
  <c r="A522" i="20" s="1"/>
  <c r="A523" i="20" s="1"/>
  <c r="A524" i="20" s="1"/>
  <c r="A525" i="20" s="1"/>
  <c r="A526" i="20" s="1"/>
  <c r="A527" i="20" s="1"/>
  <c r="A528" i="20" s="1"/>
  <c r="A529" i="20" s="1"/>
  <c r="A530" i="20" s="1"/>
  <c r="A531" i="20" s="1"/>
  <c r="A532" i="20" s="1"/>
  <c r="A533" i="20" s="1"/>
  <c r="A534" i="20" s="1"/>
  <c r="A535" i="20" s="1"/>
  <c r="A536" i="20" s="1"/>
  <c r="A537" i="20" s="1"/>
  <c r="A538" i="20" s="1"/>
  <c r="A539" i="20" s="1"/>
  <c r="A540" i="20" s="1"/>
  <c r="A541" i="20" s="1"/>
  <c r="A542" i="20" s="1"/>
  <c r="A543" i="20" s="1"/>
  <c r="A544" i="20" s="1"/>
  <c r="A545" i="20" s="1"/>
  <c r="A546" i="20" s="1"/>
  <c r="A547" i="20" s="1"/>
  <c r="A548" i="20" s="1"/>
  <c r="A549" i="20" s="1"/>
  <c r="A550" i="20" s="1"/>
  <c r="A551" i="20" s="1"/>
  <c r="A552" i="20" s="1"/>
  <c r="A553" i="20" s="1"/>
  <c r="A554" i="20" s="1"/>
  <c r="A555" i="20" s="1"/>
  <c r="A556" i="20" s="1"/>
  <c r="A557" i="20" s="1"/>
  <c r="A558" i="20" s="1"/>
  <c r="A559" i="20" s="1"/>
  <c r="A560" i="20" s="1"/>
  <c r="A561" i="20" s="1"/>
  <c r="A562" i="20" s="1"/>
  <c r="A563" i="20" s="1"/>
  <c r="A564" i="20" s="1"/>
  <c r="A565" i="20" s="1"/>
  <c r="A566" i="20" s="1"/>
  <c r="A567" i="20" s="1"/>
  <c r="A568" i="20" s="1"/>
  <c r="A569" i="20" s="1"/>
  <c r="A570" i="20" s="1"/>
  <c r="A571" i="20" s="1"/>
  <c r="A572" i="20" s="1"/>
  <c r="A573" i="20" s="1"/>
  <c r="A574" i="20" s="1"/>
  <c r="A575" i="20" s="1"/>
  <c r="A576" i="20" s="1"/>
  <c r="A577" i="20" s="1"/>
  <c r="A578" i="20" s="1"/>
  <c r="A579" i="20" s="1"/>
  <c r="A580" i="20" s="1"/>
  <c r="A581" i="20" s="1"/>
  <c r="A582" i="20" s="1"/>
  <c r="A583" i="20" s="1"/>
  <c r="A584" i="20" s="1"/>
  <c r="A585" i="20" s="1"/>
  <c r="A586" i="20" s="1"/>
  <c r="A587" i="20" s="1"/>
  <c r="A588" i="20" s="1"/>
  <c r="A589" i="20" s="1"/>
  <c r="A590" i="20" s="1"/>
  <c r="A591" i="20" s="1"/>
  <c r="A592" i="20" s="1"/>
  <c r="A593" i="20" s="1"/>
  <c r="A594" i="20" s="1"/>
  <c r="A595" i="20" s="1"/>
  <c r="A596" i="20" s="1"/>
  <c r="A597" i="20" s="1"/>
  <c r="A598" i="20" s="1"/>
  <c r="A599" i="20" s="1"/>
  <c r="A600" i="20" s="1"/>
  <c r="A601" i="20" s="1"/>
  <c r="A602" i="20" s="1"/>
  <c r="A603" i="20" s="1"/>
  <c r="A604" i="20" s="1"/>
  <c r="A605" i="20" s="1"/>
  <c r="A606" i="20" s="1"/>
  <c r="A607" i="20" s="1"/>
  <c r="A608" i="20" s="1"/>
  <c r="A609" i="20" s="1"/>
  <c r="A610" i="20" s="1"/>
  <c r="A611" i="20" s="1"/>
  <c r="A612" i="20" s="1"/>
  <c r="A613" i="20" s="1"/>
  <c r="A614" i="20" s="1"/>
  <c r="A615" i="20" s="1"/>
  <c r="A616" i="20" s="1"/>
  <c r="A617" i="20" s="1"/>
  <c r="A618" i="20" s="1"/>
  <c r="A619" i="20" s="1"/>
  <c r="A620" i="20" s="1"/>
  <c r="A621" i="20" s="1"/>
  <c r="A622" i="20" s="1"/>
  <c r="A623" i="20" s="1"/>
  <c r="A624" i="20" s="1"/>
  <c r="A625" i="20" s="1"/>
  <c r="A626" i="20" s="1"/>
  <c r="A627" i="20" s="1"/>
  <c r="A628" i="20" s="1"/>
  <c r="A629" i="20" s="1"/>
  <c r="A630" i="20" s="1"/>
  <c r="A631" i="20" s="1"/>
  <c r="A632" i="20" s="1"/>
  <c r="A633" i="20" s="1"/>
  <c r="A634" i="20" s="1"/>
  <c r="A635" i="20" s="1"/>
  <c r="A636" i="20" s="1"/>
  <c r="A637" i="20" s="1"/>
  <c r="A638" i="20" s="1"/>
  <c r="A639" i="20" s="1"/>
  <c r="A640" i="20" s="1"/>
  <c r="A641" i="20" s="1"/>
  <c r="A642" i="20" s="1"/>
  <c r="A643" i="20" s="1"/>
  <c r="A644" i="20" s="1"/>
  <c r="A645" i="20" s="1"/>
  <c r="A646" i="20" s="1"/>
  <c r="A647" i="20" s="1"/>
  <c r="A648" i="20" s="1"/>
  <c r="A649" i="20" s="1"/>
  <c r="A650" i="20" s="1"/>
  <c r="A651" i="20" s="1"/>
  <c r="A652" i="20" s="1"/>
  <c r="A653" i="20" s="1"/>
  <c r="A654" i="20" s="1"/>
  <c r="A655" i="20" s="1"/>
  <c r="A656" i="20" s="1"/>
  <c r="A657" i="20" s="1"/>
  <c r="A658" i="20" s="1"/>
  <c r="A659" i="20" s="1"/>
  <c r="A660" i="20" s="1"/>
  <c r="A661" i="20" s="1"/>
  <c r="A662" i="20" s="1"/>
  <c r="A663" i="20" s="1"/>
  <c r="A664" i="20" s="1"/>
  <c r="A665" i="20" s="1"/>
  <c r="A666" i="20" s="1"/>
  <c r="A667" i="20" s="1"/>
  <c r="A668" i="20" s="1"/>
  <c r="A669" i="20" s="1"/>
  <c r="A670" i="20" s="1"/>
  <c r="A671" i="20" s="1"/>
  <c r="A672" i="20" s="1"/>
  <c r="A673" i="20" s="1"/>
  <c r="A674" i="20" s="1"/>
  <c r="A675" i="20" s="1"/>
  <c r="A676" i="20" s="1"/>
  <c r="A677" i="20" s="1"/>
  <c r="A678" i="20" s="1"/>
  <c r="A679" i="20" s="1"/>
  <c r="A680" i="20" s="1"/>
  <c r="A681" i="20" s="1"/>
  <c r="A682" i="20" s="1"/>
  <c r="A683" i="20" s="1"/>
  <c r="A684" i="20" s="1"/>
  <c r="A685" i="20" s="1"/>
  <c r="A686" i="20" s="1"/>
  <c r="A687" i="20" s="1"/>
  <c r="A688" i="20" s="1"/>
  <c r="A689" i="20" s="1"/>
  <c r="A690" i="20" s="1"/>
  <c r="A691" i="20" s="1"/>
  <c r="A692" i="20" s="1"/>
  <c r="A693" i="20" s="1"/>
  <c r="A694" i="20" s="1"/>
  <c r="A695" i="20" s="1"/>
  <c r="A696" i="20" s="1"/>
  <c r="A697" i="20" s="1"/>
  <c r="A698" i="20" s="1"/>
  <c r="A699" i="20" s="1"/>
  <c r="A700" i="20" s="1"/>
  <c r="A701" i="20" s="1"/>
  <c r="A702" i="20" s="1"/>
  <c r="A703" i="20" s="1"/>
  <c r="A704" i="20" s="1"/>
  <c r="A705" i="20" s="1"/>
  <c r="A706" i="20" s="1"/>
  <c r="A707" i="20" s="1"/>
  <c r="A708" i="20" s="1"/>
  <c r="A709" i="20" s="1"/>
  <c r="A710" i="20" s="1"/>
  <c r="A711" i="20" s="1"/>
  <c r="A712" i="20" s="1"/>
  <c r="A713" i="20" s="1"/>
  <c r="A714" i="20" s="1"/>
  <c r="A715" i="20" s="1"/>
  <c r="A716" i="20" s="1"/>
  <c r="A717" i="20" s="1"/>
  <c r="A718" i="20" s="1"/>
  <c r="A719" i="20" s="1"/>
  <c r="A720" i="20" s="1"/>
  <c r="A721" i="20" s="1"/>
  <c r="A722" i="20" s="1"/>
  <c r="A723" i="20" s="1"/>
  <c r="A724" i="20" s="1"/>
  <c r="A725" i="20" s="1"/>
  <c r="A726" i="20" s="1"/>
  <c r="A727" i="20" s="1"/>
  <c r="A728" i="20" s="1"/>
  <c r="A729" i="20" s="1"/>
  <c r="A730" i="20" s="1"/>
  <c r="A731" i="20" s="1"/>
  <c r="A732" i="20" s="1"/>
  <c r="A733" i="20" s="1"/>
  <c r="A734" i="20" s="1"/>
  <c r="A735" i="20" s="1"/>
  <c r="A736" i="20" s="1"/>
  <c r="A737" i="20" s="1"/>
  <c r="A738" i="20" s="1"/>
  <c r="A739" i="20" s="1"/>
  <c r="A740" i="20" s="1"/>
  <c r="A741" i="20" s="1"/>
  <c r="A742" i="20" s="1"/>
  <c r="A743" i="20" s="1"/>
  <c r="A744" i="20" s="1"/>
  <c r="A745" i="20" s="1"/>
  <c r="A746" i="20" s="1"/>
  <c r="A747" i="20" s="1"/>
  <c r="A748" i="20" s="1"/>
  <c r="A749" i="20" s="1"/>
  <c r="A750" i="20" s="1"/>
  <c r="A751" i="20" s="1"/>
  <c r="A752" i="20" s="1"/>
  <c r="A753" i="20" s="1"/>
  <c r="A754" i="20" s="1"/>
  <c r="A755" i="20" s="1"/>
  <c r="A756" i="20" s="1"/>
  <c r="A757" i="20" s="1"/>
  <c r="A758" i="20" s="1"/>
  <c r="A759" i="20" s="1"/>
  <c r="A760" i="20" s="1"/>
  <c r="A761" i="20" s="1"/>
  <c r="A762" i="20" s="1"/>
  <c r="A763" i="20" s="1"/>
  <c r="A764" i="20" s="1"/>
  <c r="A765" i="20" s="1"/>
  <c r="A766" i="20" s="1"/>
  <c r="A767" i="20" s="1"/>
  <c r="A768" i="20" s="1"/>
  <c r="A769" i="20" s="1"/>
  <c r="A770" i="20" s="1"/>
  <c r="A771" i="20" s="1"/>
  <c r="A772" i="20" s="1"/>
  <c r="A773" i="20" s="1"/>
  <c r="A774" i="20" s="1"/>
  <c r="A775" i="20" s="1"/>
  <c r="A776" i="20" s="1"/>
  <c r="A777" i="20" s="1"/>
  <c r="A778" i="20" s="1"/>
  <c r="A779" i="20" s="1"/>
  <c r="A780" i="20" s="1"/>
  <c r="A781" i="20" s="1"/>
  <c r="A782" i="20" s="1"/>
  <c r="A783" i="20" s="1"/>
  <c r="A784" i="20" s="1"/>
  <c r="A785" i="20" s="1"/>
  <c r="A786" i="20" s="1"/>
  <c r="A787" i="20" s="1"/>
  <c r="A788" i="20" s="1"/>
  <c r="A789" i="20" s="1"/>
  <c r="A790" i="20" s="1"/>
  <c r="A791" i="20" s="1"/>
  <c r="A792" i="20" s="1"/>
  <c r="A793" i="20" s="1"/>
  <c r="A794" i="20" s="1"/>
  <c r="A795" i="20" s="1"/>
  <c r="A796" i="20" s="1"/>
  <c r="A797" i="20" s="1"/>
  <c r="A798" i="20" s="1"/>
  <c r="A799" i="20" s="1"/>
  <c r="A800" i="20" s="1"/>
  <c r="A801" i="20" s="1"/>
  <c r="A802" i="20" s="1"/>
  <c r="A803" i="20" s="1"/>
  <c r="A804" i="20" s="1"/>
  <c r="A805" i="20" s="1"/>
  <c r="A806" i="20" s="1"/>
  <c r="A807" i="20" s="1"/>
  <c r="A808" i="20" s="1"/>
  <c r="A809" i="20" s="1"/>
  <c r="A810" i="20" s="1"/>
  <c r="A811" i="20" s="1"/>
  <c r="A812" i="20" s="1"/>
  <c r="A813" i="20" s="1"/>
  <c r="A814" i="20" s="1"/>
  <c r="A815" i="20" s="1"/>
  <c r="A816" i="20" s="1"/>
  <c r="A817" i="20" s="1"/>
  <c r="A818" i="20" s="1"/>
  <c r="A819" i="20" s="1"/>
  <c r="A820" i="20" s="1"/>
  <c r="A821" i="20" s="1"/>
  <c r="A822" i="20" s="1"/>
  <c r="A823" i="20" s="1"/>
  <c r="A824" i="20" s="1"/>
  <c r="A825" i="20" s="1"/>
  <c r="A826" i="20" s="1"/>
  <c r="A827" i="20" s="1"/>
  <c r="A828" i="20" s="1"/>
  <c r="A829" i="20" s="1"/>
  <c r="A830" i="20" s="1"/>
  <c r="A831" i="20" s="1"/>
  <c r="A832" i="20" s="1"/>
  <c r="A833" i="20" s="1"/>
  <c r="A834" i="20" s="1"/>
  <c r="A835" i="20" s="1"/>
  <c r="A836" i="20" s="1"/>
  <c r="A837" i="20" s="1"/>
  <c r="A838" i="20" s="1"/>
  <c r="A839" i="20" s="1"/>
  <c r="A840" i="20" s="1"/>
  <c r="A841" i="20" s="1"/>
  <c r="A842" i="20" s="1"/>
  <c r="A843" i="20" s="1"/>
  <c r="A844" i="20" s="1"/>
  <c r="A845" i="20" s="1"/>
  <c r="A846" i="20" s="1"/>
  <c r="A847" i="20" s="1"/>
  <c r="A848" i="20" s="1"/>
  <c r="A849" i="20" s="1"/>
  <c r="A850" i="20" s="1"/>
  <c r="A851" i="20" s="1"/>
  <c r="A852" i="20" s="1"/>
  <c r="A853" i="20" s="1"/>
  <c r="A854" i="20" s="1"/>
  <c r="A855" i="20" s="1"/>
  <c r="A856" i="20" s="1"/>
  <c r="A857" i="20" s="1"/>
  <c r="A858" i="20" s="1"/>
  <c r="A859" i="20" s="1"/>
  <c r="A860" i="20" s="1"/>
  <c r="A861" i="20" s="1"/>
  <c r="A862" i="20" s="1"/>
  <c r="A863" i="20" s="1"/>
  <c r="A864" i="20" s="1"/>
  <c r="A865" i="20" s="1"/>
  <c r="A866" i="20" s="1"/>
  <c r="A867" i="20" s="1"/>
  <c r="A868" i="20" s="1"/>
  <c r="A869" i="20" s="1"/>
  <c r="A870" i="20" s="1"/>
  <c r="A871" i="20" s="1"/>
  <c r="A872" i="20" s="1"/>
  <c r="A873" i="20" s="1"/>
  <c r="A874" i="20" s="1"/>
  <c r="A875" i="20" s="1"/>
  <c r="A876" i="20" s="1"/>
  <c r="A877" i="20" s="1"/>
  <c r="A878" i="20" s="1"/>
  <c r="A879" i="20" s="1"/>
  <c r="A880" i="20" s="1"/>
  <c r="A881" i="20" s="1"/>
  <c r="A882" i="20" s="1"/>
  <c r="A883" i="20" s="1"/>
  <c r="A884" i="20" s="1"/>
  <c r="A885" i="20" s="1"/>
  <c r="A886" i="20" s="1"/>
  <c r="A887" i="20" s="1"/>
  <c r="A888" i="20" s="1"/>
  <c r="A889" i="20" s="1"/>
  <c r="A890" i="20" s="1"/>
  <c r="A891" i="20" s="1"/>
  <c r="A892" i="20" s="1"/>
  <c r="A893" i="20" s="1"/>
  <c r="A894" i="20" s="1"/>
  <c r="A895" i="20" s="1"/>
  <c r="A896" i="20" s="1"/>
  <c r="A897" i="20" s="1"/>
  <c r="A898" i="20" s="1"/>
  <c r="A899" i="20" s="1"/>
  <c r="A900" i="20" s="1"/>
  <c r="A901" i="20" s="1"/>
  <c r="A902" i="20" s="1"/>
  <c r="A903" i="20" s="1"/>
  <c r="A904" i="20" s="1"/>
  <c r="A905" i="20" s="1"/>
  <c r="A906" i="20" s="1"/>
  <c r="A907" i="20" s="1"/>
  <c r="A908" i="20" s="1"/>
  <c r="A909" i="20" s="1"/>
  <c r="A910" i="20" s="1"/>
  <c r="A911" i="20" s="1"/>
  <c r="A912" i="20" s="1"/>
  <c r="A913" i="20" s="1"/>
  <c r="A914" i="20" s="1"/>
  <c r="A915" i="20" s="1"/>
  <c r="A916" i="20" s="1"/>
  <c r="A917" i="20" s="1"/>
  <c r="A918" i="20" s="1"/>
  <c r="A919" i="20" s="1"/>
  <c r="A920" i="20" s="1"/>
  <c r="A921" i="20" s="1"/>
  <c r="A922" i="20" s="1"/>
  <c r="A923" i="20" s="1"/>
  <c r="A924" i="20" s="1"/>
  <c r="A925" i="20" s="1"/>
  <c r="A926" i="20" s="1"/>
  <c r="A927" i="20" s="1"/>
  <c r="A928" i="20" s="1"/>
  <c r="A929" i="20" s="1"/>
  <c r="A930" i="20" s="1"/>
  <c r="A931" i="20" s="1"/>
  <c r="A932" i="20" s="1"/>
  <c r="A933" i="20" s="1"/>
  <c r="A934" i="20" s="1"/>
  <c r="A935" i="20" s="1"/>
  <c r="A936" i="20" s="1"/>
  <c r="A937" i="20" s="1"/>
  <c r="A938" i="20" s="1"/>
  <c r="A939" i="20" s="1"/>
  <c r="A940" i="20" s="1"/>
  <c r="A941" i="20" s="1"/>
  <c r="A942" i="20" s="1"/>
  <c r="A943" i="20" s="1"/>
  <c r="A944" i="20" s="1"/>
  <c r="A945" i="20" s="1"/>
  <c r="A946" i="20" s="1"/>
  <c r="A947" i="20" s="1"/>
  <c r="A948" i="20" s="1"/>
  <c r="A949" i="20" s="1"/>
  <c r="A950" i="20" s="1"/>
  <c r="A951" i="20" s="1"/>
  <c r="A952" i="20" s="1"/>
  <c r="A953" i="20" s="1"/>
  <c r="A954" i="20" s="1"/>
  <c r="A955" i="20" s="1"/>
  <c r="A956" i="20" s="1"/>
  <c r="A957" i="20" s="1"/>
  <c r="A958" i="20" s="1"/>
  <c r="A959" i="20" s="1"/>
  <c r="A960" i="20" s="1"/>
  <c r="A961" i="20" s="1"/>
  <c r="A962" i="20" s="1"/>
  <c r="A963" i="20" s="1"/>
  <c r="A964" i="20" s="1"/>
  <c r="A965" i="20" s="1"/>
  <c r="A966" i="20" s="1"/>
  <c r="A967" i="20" s="1"/>
  <c r="A968" i="20" s="1"/>
  <c r="A969" i="20" s="1"/>
  <c r="A970" i="20" s="1"/>
  <c r="A971" i="20" s="1"/>
  <c r="A972" i="20" s="1"/>
  <c r="A973" i="20" s="1"/>
  <c r="A974" i="20" s="1"/>
  <c r="A975" i="20" s="1"/>
  <c r="A976" i="20" s="1"/>
  <c r="A977" i="20" s="1"/>
  <c r="A978" i="20" s="1"/>
  <c r="A979" i="20" s="1"/>
  <c r="A980" i="20" s="1"/>
  <c r="A981" i="20" s="1"/>
  <c r="A982" i="20" s="1"/>
  <c r="A983" i="20" s="1"/>
  <c r="A984" i="20" s="1"/>
  <c r="A985" i="20" s="1"/>
  <c r="A986" i="20" s="1"/>
  <c r="A987" i="20" s="1"/>
  <c r="A988" i="20" s="1"/>
  <c r="A989" i="20" s="1"/>
  <c r="A990" i="20" s="1"/>
  <c r="A991" i="20" s="1"/>
  <c r="A992" i="20" s="1"/>
  <c r="A993" i="20" s="1"/>
  <c r="A994" i="20" s="1"/>
  <c r="A995" i="20" s="1"/>
  <c r="A996" i="20" s="1"/>
  <c r="A997" i="20" s="1"/>
  <c r="A998" i="20" s="1"/>
  <c r="A999" i="20" s="1"/>
  <c r="A1000" i="20" s="1"/>
  <c r="A1001" i="20" s="1"/>
  <c r="A1002" i="20" s="1"/>
  <c r="A1003" i="20" s="1"/>
  <c r="A1004" i="20" s="1"/>
  <c r="A1005" i="20" s="1"/>
  <c r="A1006" i="20" s="1"/>
  <c r="A1007" i="20" s="1"/>
  <c r="A1008" i="20" s="1"/>
  <c r="A1009" i="20" s="1"/>
  <c r="A1010" i="20" s="1"/>
  <c r="A1011" i="20" s="1"/>
  <c r="A1012" i="20" s="1"/>
  <c r="A1013" i="20" s="1"/>
  <c r="A1014" i="20" s="1"/>
  <c r="A1015" i="20" s="1"/>
  <c r="A1016" i="20" s="1"/>
  <c r="A1017" i="20" s="1"/>
  <c r="A1018" i="20" s="1"/>
  <c r="A1019" i="20" s="1"/>
  <c r="A1020" i="20" s="1"/>
  <c r="A1021" i="20" s="1"/>
  <c r="A1022" i="20" s="1"/>
  <c r="A1023" i="20" s="1"/>
  <c r="A1024" i="20" s="1"/>
  <c r="A1025" i="20" s="1"/>
  <c r="A1026" i="20" s="1"/>
  <c r="A1027" i="20" s="1"/>
  <c r="A1028" i="20" s="1"/>
  <c r="A1029" i="20" s="1"/>
  <c r="A1030" i="20" s="1"/>
  <c r="A1031" i="20" s="1"/>
  <c r="A1032" i="20" s="1"/>
  <c r="A1033" i="20" s="1"/>
  <c r="A1034" i="20" s="1"/>
  <c r="A1035" i="20" s="1"/>
  <c r="A1036" i="20" s="1"/>
  <c r="A1037" i="20" s="1"/>
  <c r="A1038" i="20" s="1"/>
  <c r="A1039" i="20" s="1"/>
  <c r="A1040" i="20" s="1"/>
  <c r="A1041" i="20" s="1"/>
  <c r="A1042" i="20" s="1"/>
  <c r="A1043" i="20" s="1"/>
  <c r="A1044" i="20" s="1"/>
  <c r="A1045" i="20" s="1"/>
  <c r="A1046" i="20" s="1"/>
  <c r="A1047" i="20" s="1"/>
  <c r="A1048" i="20" s="1"/>
  <c r="A1049" i="20" s="1"/>
  <c r="A1050" i="20" s="1"/>
  <c r="A1051" i="20" s="1"/>
  <c r="A1052" i="20" s="1"/>
  <c r="A1053" i="20" s="1"/>
  <c r="A1054" i="20" s="1"/>
  <c r="A1055" i="20" s="1"/>
  <c r="A1056" i="20" s="1"/>
  <c r="A1057" i="20" s="1"/>
  <c r="A1058" i="20" s="1"/>
  <c r="A1059" i="20" s="1"/>
  <c r="A1060" i="20" s="1"/>
  <c r="A1061" i="20" s="1"/>
  <c r="A1062" i="20" s="1"/>
  <c r="A1063" i="20" s="1"/>
  <c r="A1064" i="20" s="1"/>
  <c r="A1065" i="20" s="1"/>
  <c r="A1066" i="20" s="1"/>
  <c r="A1067" i="20" s="1"/>
  <c r="A1068" i="20" s="1"/>
  <c r="A1069" i="20" s="1"/>
  <c r="A1070" i="20" s="1"/>
  <c r="A1071" i="20" s="1"/>
  <c r="A1072" i="20" s="1"/>
  <c r="A1073" i="20" s="1"/>
  <c r="A1074" i="20" s="1"/>
  <c r="A1075" i="20" s="1"/>
  <c r="A1076" i="20" s="1"/>
  <c r="A1077" i="20" s="1"/>
  <c r="A1078" i="20" s="1"/>
  <c r="A1079" i="20" s="1"/>
  <c r="A1080" i="20" s="1"/>
  <c r="A1081" i="20" s="1"/>
  <c r="A1082" i="20" s="1"/>
  <c r="A1083" i="20" s="1"/>
  <c r="A1084" i="20" s="1"/>
  <c r="A1085" i="20" s="1"/>
  <c r="A1086" i="20" s="1"/>
  <c r="A1087" i="20" s="1"/>
  <c r="A1088" i="20" s="1"/>
  <c r="A1089" i="20" s="1"/>
  <c r="A1090" i="20" s="1"/>
  <c r="A1091" i="20" s="1"/>
  <c r="A1092" i="20" s="1"/>
  <c r="A1093" i="20" s="1"/>
  <c r="A1094" i="20" s="1"/>
  <c r="A1095" i="20" s="1"/>
  <c r="A1096" i="20" s="1"/>
  <c r="A1097" i="20" s="1"/>
  <c r="A1098" i="20" s="1"/>
  <c r="A1099" i="20" s="1"/>
  <c r="A1100" i="20" s="1"/>
  <c r="A1101" i="20" s="1"/>
  <c r="A1102" i="20" s="1"/>
  <c r="A1103" i="20" s="1"/>
  <c r="A1104" i="20" s="1"/>
  <c r="A1105" i="20" s="1"/>
  <c r="A1106" i="20" s="1"/>
  <c r="A1107" i="20" s="1"/>
  <c r="A1108" i="20" s="1"/>
  <c r="A1109" i="20" s="1"/>
  <c r="A1110" i="20" s="1"/>
  <c r="A1111" i="20" s="1"/>
  <c r="A1112" i="20" s="1"/>
  <c r="A1113" i="20" s="1"/>
  <c r="A1114" i="20" s="1"/>
  <c r="A1115" i="20" s="1"/>
  <c r="A1116" i="20" s="1"/>
  <c r="A1117" i="20" s="1"/>
  <c r="A1118" i="20" s="1"/>
  <c r="A1119" i="20" s="1"/>
  <c r="A1120" i="20" s="1"/>
  <c r="A1121" i="20" s="1"/>
  <c r="A1122" i="20" s="1"/>
  <c r="A1123" i="20" s="1"/>
  <c r="A1124" i="20" s="1"/>
  <c r="A1125" i="20" s="1"/>
  <c r="A1126" i="20" s="1"/>
  <c r="A1127" i="20" s="1"/>
  <c r="A1128" i="20" s="1"/>
  <c r="A1129" i="20" s="1"/>
  <c r="A1130" i="20" s="1"/>
  <c r="A1131" i="20" s="1"/>
  <c r="A1132" i="20" s="1"/>
  <c r="A1133" i="20" s="1"/>
  <c r="A1134" i="20" s="1"/>
  <c r="A1135" i="20" s="1"/>
  <c r="A1136" i="20" s="1"/>
  <c r="A1137" i="20" s="1"/>
  <c r="A1138" i="20" s="1"/>
  <c r="A1139" i="20" s="1"/>
  <c r="A1140" i="20" s="1"/>
  <c r="A1141" i="20" s="1"/>
  <c r="A1142" i="20" s="1"/>
  <c r="A1143" i="20" s="1"/>
  <c r="A1144" i="20" s="1"/>
  <c r="A1145" i="20" s="1"/>
  <c r="A1146" i="20" s="1"/>
  <c r="A1147" i="20" s="1"/>
  <c r="A1148" i="20" s="1"/>
  <c r="A1149" i="20" s="1"/>
  <c r="A1150" i="20" s="1"/>
  <c r="A1151" i="20" s="1"/>
  <c r="A1152" i="20" s="1"/>
  <c r="A1153" i="20" s="1"/>
  <c r="A1154" i="20" s="1"/>
  <c r="A1155" i="20" s="1"/>
  <c r="A1156" i="20" s="1"/>
  <c r="A1157" i="20" s="1"/>
  <c r="A1158" i="20" s="1"/>
  <c r="A1159" i="20" s="1"/>
  <c r="A1160" i="20" s="1"/>
  <c r="A1161" i="20" s="1"/>
  <c r="A1162" i="20" s="1"/>
  <c r="A1163" i="20" s="1"/>
  <c r="A1164" i="20" s="1"/>
  <c r="A1165" i="20" s="1"/>
  <c r="A1166" i="20" s="1"/>
  <c r="A1167" i="20" s="1"/>
  <c r="A1168" i="20" s="1"/>
  <c r="A1169" i="20" s="1"/>
  <c r="A1170" i="20" s="1"/>
  <c r="A1171" i="20" s="1"/>
  <c r="A1172" i="20" s="1"/>
  <c r="A1173" i="20" s="1"/>
  <c r="A1174" i="20" s="1"/>
  <c r="A1175" i="20" s="1"/>
  <c r="A1176" i="20" s="1"/>
  <c r="A1177" i="20" s="1"/>
  <c r="A1178" i="20" s="1"/>
  <c r="A1179" i="20" s="1"/>
  <c r="A1180" i="20" s="1"/>
  <c r="A1181" i="20" s="1"/>
  <c r="A1182" i="20" s="1"/>
  <c r="A1183" i="20" s="1"/>
  <c r="A1184" i="20" s="1"/>
  <c r="A1185" i="20" s="1"/>
  <c r="A1186" i="20" s="1"/>
  <c r="A1187" i="20" s="1"/>
  <c r="A1188" i="20" s="1"/>
  <c r="A1189" i="20" s="1"/>
  <c r="A1190" i="20" s="1"/>
  <c r="A1191" i="20" s="1"/>
  <c r="A1192" i="20" s="1"/>
  <c r="A1193" i="20" s="1"/>
  <c r="A1194" i="20" s="1"/>
  <c r="A1195" i="20" s="1"/>
  <c r="A1196" i="20" s="1"/>
  <c r="A1197" i="20" s="1"/>
  <c r="A1198" i="20" s="1"/>
  <c r="A1199" i="20" s="1"/>
  <c r="A1200" i="20" s="1"/>
  <c r="A1201" i="20" s="1"/>
  <c r="A1202" i="20" s="1"/>
  <c r="A1203" i="20" s="1"/>
  <c r="A1204" i="20" s="1"/>
  <c r="A1205" i="20" s="1"/>
  <c r="A1206" i="20" s="1"/>
  <c r="A1207" i="20" s="1"/>
  <c r="A1208" i="20" s="1"/>
  <c r="A1209" i="20" s="1"/>
  <c r="A1210" i="20" s="1"/>
  <c r="A1211" i="20" s="1"/>
  <c r="A1212" i="20" s="1"/>
  <c r="A1213" i="20" s="1"/>
  <c r="A1214" i="20" s="1"/>
  <c r="A1215" i="20" s="1"/>
  <c r="A1216" i="20" s="1"/>
  <c r="A1217" i="20" s="1"/>
  <c r="A1218" i="20" s="1"/>
  <c r="A1219" i="20" s="1"/>
  <c r="A1220" i="20" s="1"/>
  <c r="A1221" i="20" s="1"/>
  <c r="A1222" i="20" s="1"/>
  <c r="A1223" i="20" s="1"/>
  <c r="A1224" i="20" s="1"/>
  <c r="A1225" i="20" s="1"/>
  <c r="A1226" i="20" s="1"/>
  <c r="A1227" i="20" s="1"/>
  <c r="A1228" i="20" s="1"/>
  <c r="A1229" i="20" s="1"/>
  <c r="A1230" i="20" s="1"/>
  <c r="A1231" i="20" s="1"/>
  <c r="A1232" i="20" s="1"/>
  <c r="A1233" i="20" s="1"/>
  <c r="A1234" i="20" s="1"/>
  <c r="A1235" i="20" s="1"/>
  <c r="A1236" i="20" s="1"/>
  <c r="A1237" i="20" s="1"/>
  <c r="A1238" i="20" s="1"/>
  <c r="A1239" i="20" s="1"/>
  <c r="A1240" i="20" s="1"/>
  <c r="A1241" i="20" s="1"/>
  <c r="A1242" i="20" s="1"/>
  <c r="A1243" i="20" s="1"/>
  <c r="A1244" i="20" s="1"/>
  <c r="A1245" i="20" s="1"/>
  <c r="A1246" i="20" s="1"/>
  <c r="A1247" i="20" s="1"/>
  <c r="A1248" i="20" s="1"/>
  <c r="A1249" i="20" s="1"/>
  <c r="A1250" i="20" s="1"/>
  <c r="A1251" i="20" s="1"/>
  <c r="A1252" i="20" s="1"/>
  <c r="A1253" i="20" s="1"/>
  <c r="A1254" i="20" s="1"/>
  <c r="A1255" i="20" s="1"/>
  <c r="A1256" i="20" s="1"/>
  <c r="A1257" i="20" s="1"/>
  <c r="A1258" i="20" s="1"/>
  <c r="A1259" i="20" s="1"/>
  <c r="A1260" i="20" s="1"/>
  <c r="A1261" i="20" s="1"/>
  <c r="A1262" i="20" s="1"/>
  <c r="A1263" i="20" s="1"/>
  <c r="A1264" i="20" s="1"/>
  <c r="A1265" i="20" s="1"/>
  <c r="A1266" i="20" s="1"/>
  <c r="A1267" i="20" s="1"/>
  <c r="A1268" i="20" s="1"/>
  <c r="A1269" i="20" s="1"/>
  <c r="A1270" i="20" s="1"/>
  <c r="A1271" i="20" s="1"/>
  <c r="A1272" i="20" s="1"/>
  <c r="A1273" i="20" s="1"/>
  <c r="A1274" i="20" s="1"/>
  <c r="A1275" i="20" s="1"/>
  <c r="A1276" i="20" s="1"/>
  <c r="A1277" i="20" s="1"/>
  <c r="A1278" i="20" s="1"/>
  <c r="A1279" i="20" s="1"/>
  <c r="A1280" i="20" s="1"/>
  <c r="A1281" i="20" s="1"/>
  <c r="A1282" i="20" s="1"/>
  <c r="A1283" i="20" s="1"/>
  <c r="A1284" i="20" s="1"/>
  <c r="A1285" i="20" s="1"/>
  <c r="A1286" i="20" s="1"/>
  <c r="A1287" i="20" s="1"/>
  <c r="A1288" i="20" s="1"/>
  <c r="A1289" i="20" s="1"/>
  <c r="A1290" i="20" s="1"/>
  <c r="A1291" i="20" s="1"/>
  <c r="A1292" i="20" s="1"/>
  <c r="A1293" i="20" s="1"/>
  <c r="A1294" i="20" s="1"/>
  <c r="A1295" i="20" s="1"/>
  <c r="A1296" i="20" s="1"/>
  <c r="A1297" i="20" s="1"/>
  <c r="A1298" i="20" s="1"/>
  <c r="A1299" i="20" s="1"/>
  <c r="A1300" i="20" s="1"/>
  <c r="A1301" i="20" s="1"/>
  <c r="A1302" i="20" s="1"/>
  <c r="A1303" i="20" s="1"/>
  <c r="A1304" i="20" s="1"/>
  <c r="A1305" i="20" s="1"/>
  <c r="A1306" i="20" s="1"/>
  <c r="A1307" i="20" s="1"/>
  <c r="A1308" i="20" s="1"/>
  <c r="A1309" i="20" s="1"/>
  <c r="A1310" i="20" s="1"/>
  <c r="A1311" i="20" s="1"/>
  <c r="A1312" i="20" s="1"/>
  <c r="A1313" i="20" s="1"/>
  <c r="A1314" i="20" s="1"/>
  <c r="A1315" i="20" s="1"/>
  <c r="A1316" i="20" s="1"/>
  <c r="A1317" i="20" s="1"/>
  <c r="A1318" i="20" s="1"/>
  <c r="A1319" i="20" s="1"/>
  <c r="A1320" i="20" s="1"/>
  <c r="A1321" i="20" s="1"/>
  <c r="A1322" i="20" s="1"/>
  <c r="A1323" i="20" s="1"/>
  <c r="A1324" i="20" s="1"/>
  <c r="A1325" i="20" s="1"/>
  <c r="A1326" i="20" s="1"/>
  <c r="A1327" i="20" s="1"/>
  <c r="A1328" i="20" s="1"/>
  <c r="A1329" i="20" s="1"/>
  <c r="A1330" i="20" s="1"/>
  <c r="A1331" i="20" s="1"/>
  <c r="A1332" i="20" s="1"/>
  <c r="A1333" i="20" s="1"/>
  <c r="A1334" i="20" s="1"/>
  <c r="A1335" i="20" s="1"/>
  <c r="A1336" i="20" s="1"/>
  <c r="A1337" i="20" s="1"/>
  <c r="A1338" i="20" s="1"/>
  <c r="A1339" i="20" s="1"/>
  <c r="A1340" i="20" s="1"/>
  <c r="A1341" i="20" s="1"/>
  <c r="A1342" i="20" s="1"/>
  <c r="A1343" i="20" s="1"/>
  <c r="A1344" i="20" s="1"/>
  <c r="A1345" i="20" s="1"/>
  <c r="A1346" i="20" s="1"/>
  <c r="A1347" i="20" s="1"/>
  <c r="A1348" i="20" s="1"/>
  <c r="A1349" i="20" s="1"/>
  <c r="A1350" i="20" s="1"/>
  <c r="A1351" i="20" s="1"/>
  <c r="A1352" i="20" s="1"/>
  <c r="A1353" i="20" s="1"/>
  <c r="A1354" i="20" s="1"/>
  <c r="A1355" i="20" s="1"/>
  <c r="A1356" i="20" s="1"/>
  <c r="A1357" i="20" s="1"/>
  <c r="A1358" i="20" s="1"/>
  <c r="A1359" i="20" s="1"/>
  <c r="A1360" i="20" s="1"/>
  <c r="A1361" i="20" s="1"/>
  <c r="A1362" i="20" s="1"/>
  <c r="A1363" i="20" s="1"/>
  <c r="A1364" i="20" s="1"/>
  <c r="A1365" i="20" s="1"/>
  <c r="A1366" i="20" s="1"/>
  <c r="A1367" i="20" s="1"/>
  <c r="A1368" i="20" s="1"/>
  <c r="A1369" i="20" s="1"/>
  <c r="A1370" i="20" s="1"/>
  <c r="A1371" i="20" s="1"/>
  <c r="A1372" i="20" s="1"/>
  <c r="A1373" i="20" s="1"/>
  <c r="A1374" i="20" s="1"/>
  <c r="A1375" i="20" s="1"/>
  <c r="A1376" i="20" s="1"/>
  <c r="A1377" i="20" s="1"/>
  <c r="A1378" i="20" s="1"/>
  <c r="A1379" i="20" s="1"/>
  <c r="A1380" i="20" s="1"/>
  <c r="A1381" i="20" s="1"/>
  <c r="A1382" i="20" s="1"/>
  <c r="A1383" i="20" s="1"/>
  <c r="A1384" i="20" s="1"/>
  <c r="A1385" i="20" s="1"/>
  <c r="A1386" i="20" s="1"/>
  <c r="A1387" i="20" s="1"/>
  <c r="A1388" i="20" s="1"/>
  <c r="A1389" i="20" s="1"/>
  <c r="A1390" i="20" s="1"/>
  <c r="A1391" i="20" s="1"/>
  <c r="A1392" i="20" s="1"/>
  <c r="A1393" i="20" s="1"/>
  <c r="A1394" i="20" s="1"/>
  <c r="A1395" i="20" s="1"/>
  <c r="A1396" i="20" s="1"/>
  <c r="A1397" i="20" s="1"/>
  <c r="A1398" i="20" s="1"/>
  <c r="A1399" i="20" s="1"/>
  <c r="A1400" i="20" s="1"/>
  <c r="A1401" i="20" s="1"/>
  <c r="A1402" i="20" s="1"/>
  <c r="A1403" i="20" s="1"/>
  <c r="A1404" i="20" s="1"/>
  <c r="A1405" i="20" s="1"/>
  <c r="A1406" i="20" s="1"/>
  <c r="A1407" i="20" s="1"/>
  <c r="A1408" i="20" s="1"/>
  <c r="A1409" i="20" s="1"/>
  <c r="A1410" i="20" s="1"/>
  <c r="A1411" i="20" s="1"/>
  <c r="A1412" i="20" s="1"/>
  <c r="A1413" i="20" s="1"/>
  <c r="A1414" i="20" s="1"/>
  <c r="A1415" i="20" s="1"/>
  <c r="A1416" i="20" s="1"/>
  <c r="A1417" i="20" s="1"/>
  <c r="A1418" i="20" s="1"/>
  <c r="A1419" i="20" s="1"/>
  <c r="A1420" i="20" s="1"/>
  <c r="A1421" i="20" s="1"/>
  <c r="A1422" i="20" s="1"/>
  <c r="A1423" i="20" s="1"/>
  <c r="A1424" i="20" s="1"/>
  <c r="A1425" i="20" s="1"/>
  <c r="A1426" i="20" s="1"/>
  <c r="A1427" i="20" s="1"/>
  <c r="A1428" i="20" s="1"/>
  <c r="A1429" i="20" s="1"/>
  <c r="A1430" i="20" s="1"/>
  <c r="A1431" i="20" s="1"/>
  <c r="A1432" i="20" s="1"/>
  <c r="A1433" i="20" s="1"/>
  <c r="A1434" i="20" s="1"/>
  <c r="A1435" i="20" s="1"/>
  <c r="A1436" i="20" s="1"/>
  <c r="A1437" i="20" s="1"/>
  <c r="A1438" i="20" s="1"/>
  <c r="A1439" i="20" s="1"/>
  <c r="A1440" i="20" s="1"/>
  <c r="A1441" i="20" s="1"/>
  <c r="A1442" i="20" s="1"/>
  <c r="A1443" i="20" s="1"/>
  <c r="A1444" i="20" s="1"/>
  <c r="A1445" i="20" s="1"/>
  <c r="A1446" i="20" s="1"/>
  <c r="A1447" i="20" s="1"/>
  <c r="A1448" i="20" s="1"/>
  <c r="A1449" i="20" s="1"/>
  <c r="A1450" i="20" s="1"/>
  <c r="A1451" i="20" s="1"/>
  <c r="A1452" i="20" s="1"/>
  <c r="A1453" i="20" s="1"/>
  <c r="A1454" i="20" s="1"/>
  <c r="A1455" i="20" s="1"/>
  <c r="A1456" i="20" s="1"/>
  <c r="A1457" i="20" s="1"/>
  <c r="A1458" i="20" s="1"/>
  <c r="A1459" i="20" s="1"/>
  <c r="A1460" i="20" s="1"/>
  <c r="A1461" i="20" s="1"/>
  <c r="A1462" i="20" s="1"/>
  <c r="A1463" i="20" s="1"/>
  <c r="A1464" i="20" s="1"/>
  <c r="A1465" i="20" s="1"/>
  <c r="A1466" i="20" s="1"/>
  <c r="A1467" i="20" s="1"/>
  <c r="A1468" i="20" s="1"/>
  <c r="A1469" i="20" s="1"/>
  <c r="A1470" i="20" s="1"/>
  <c r="A1471" i="20" s="1"/>
  <c r="A1472" i="20" s="1"/>
  <c r="A1473" i="20" s="1"/>
  <c r="A1474" i="20" s="1"/>
  <c r="A1475" i="20" s="1"/>
  <c r="A1476" i="20" s="1"/>
  <c r="A1477" i="20" s="1"/>
  <c r="A1478" i="20" s="1"/>
  <c r="A1479" i="20" s="1"/>
  <c r="A1480" i="20" s="1"/>
  <c r="A1481" i="20" s="1"/>
  <c r="A1482" i="20" s="1"/>
  <c r="A1483" i="20" s="1"/>
  <c r="A1484" i="20" s="1"/>
  <c r="A1485" i="20" s="1"/>
  <c r="A1486" i="20" s="1"/>
  <c r="A1487" i="20" s="1"/>
  <c r="A1488" i="20" s="1"/>
  <c r="A1489" i="20" s="1"/>
  <c r="A1490" i="20" s="1"/>
  <c r="A1491" i="20" s="1"/>
  <c r="A1492" i="20" s="1"/>
  <c r="A1493" i="20" s="1"/>
  <c r="A1494" i="20" s="1"/>
  <c r="A1495" i="20" s="1"/>
  <c r="A1496" i="20" s="1"/>
  <c r="A1497" i="20" s="1"/>
  <c r="A1498" i="20" s="1"/>
  <c r="A1499" i="20" s="1"/>
  <c r="A1500" i="20" s="1"/>
  <c r="A1501" i="20" s="1"/>
  <c r="A1502" i="20" s="1"/>
  <c r="A1503" i="20" s="1"/>
  <c r="A1504" i="20" s="1"/>
  <c r="A1505" i="20" s="1"/>
  <c r="A1506" i="20" s="1"/>
  <c r="A1507" i="20" s="1"/>
  <c r="A1508" i="20" s="1"/>
  <c r="A1509" i="20" s="1"/>
  <c r="A1510" i="20" s="1"/>
  <c r="A1511" i="20" s="1"/>
  <c r="A1512" i="20" s="1"/>
  <c r="A1513" i="20" s="1"/>
  <c r="A1514" i="20" s="1"/>
  <c r="A1515" i="20" s="1"/>
  <c r="A1516" i="20" s="1"/>
  <c r="A1517" i="20" s="1"/>
  <c r="A1518" i="20" s="1"/>
  <c r="A1519" i="20" s="1"/>
  <c r="A1520" i="20" s="1"/>
  <c r="A1521" i="20" s="1"/>
  <c r="A1522" i="20" s="1"/>
  <c r="A1523" i="20" s="1"/>
  <c r="A1524" i="20" s="1"/>
  <c r="A1525" i="20" s="1"/>
  <c r="A1526" i="20" s="1"/>
  <c r="A1527" i="20" s="1"/>
  <c r="A1528" i="20" s="1"/>
  <c r="A1529" i="20" s="1"/>
  <c r="A1530" i="20" s="1"/>
  <c r="A1531" i="20" s="1"/>
  <c r="A1532" i="20" s="1"/>
  <c r="A1533" i="20" s="1"/>
  <c r="A1534" i="20" s="1"/>
  <c r="A1535" i="20" s="1"/>
  <c r="A1536" i="20" s="1"/>
  <c r="A1537" i="20" s="1"/>
  <c r="A1538" i="20" s="1"/>
  <c r="A1539" i="20" s="1"/>
  <c r="A1540" i="20" s="1"/>
  <c r="A1541" i="20" s="1"/>
  <c r="A1542" i="20" s="1"/>
  <c r="A1543" i="20" s="1"/>
  <c r="A1544" i="20" s="1"/>
  <c r="A1545" i="20" s="1"/>
  <c r="A1546" i="20" s="1"/>
  <c r="A1547" i="20" s="1"/>
  <c r="A1548" i="20" s="1"/>
  <c r="A1549" i="20" s="1"/>
  <c r="A1550" i="20" s="1"/>
  <c r="A1551" i="20" s="1"/>
  <c r="A1552" i="20" s="1"/>
  <c r="A1553" i="20" s="1"/>
  <c r="A1554" i="20" s="1"/>
  <c r="A1555" i="20" s="1"/>
  <c r="A1556" i="20" s="1"/>
  <c r="A1557" i="20" s="1"/>
  <c r="A1558" i="20" s="1"/>
  <c r="A1559" i="20" s="1"/>
  <c r="A1560" i="20" s="1"/>
  <c r="A1561" i="20" s="1"/>
  <c r="A1562" i="20" s="1"/>
  <c r="A1563" i="20" s="1"/>
  <c r="A1564" i="20" s="1"/>
  <c r="A1565" i="20" s="1"/>
  <c r="A1566" i="20" s="1"/>
  <c r="A1567" i="20" s="1"/>
  <c r="A1568" i="20" s="1"/>
  <c r="A1569" i="20" s="1"/>
  <c r="A1570" i="20" s="1"/>
  <c r="A1571" i="20" s="1"/>
  <c r="A1572" i="20" s="1"/>
  <c r="A1573" i="20" s="1"/>
  <c r="A1574" i="20" s="1"/>
  <c r="A1575" i="20" s="1"/>
  <c r="A1576" i="20" s="1"/>
  <c r="A1577" i="20" s="1"/>
  <c r="A1578" i="20" s="1"/>
  <c r="A1579" i="20" s="1"/>
  <c r="A1580" i="20" s="1"/>
  <c r="A1581" i="20" s="1"/>
  <c r="A1582" i="20" s="1"/>
  <c r="A1583" i="20" s="1"/>
  <c r="A1584" i="20" s="1"/>
  <c r="A1585" i="20" s="1"/>
  <c r="A1586" i="20" s="1"/>
  <c r="A1587" i="20" s="1"/>
  <c r="A1588" i="20" s="1"/>
  <c r="A1589" i="20" s="1"/>
  <c r="A1590" i="20" s="1"/>
  <c r="A1591" i="20" s="1"/>
  <c r="A1592" i="20" s="1"/>
  <c r="A1593" i="20" s="1"/>
  <c r="A1594" i="20" s="1"/>
  <c r="A1595" i="20" s="1"/>
  <c r="A1596" i="20" s="1"/>
  <c r="A1597" i="20" s="1"/>
  <c r="A1598" i="20" s="1"/>
  <c r="A1599" i="20" s="1"/>
  <c r="A1600" i="20" s="1"/>
  <c r="A1601" i="20" s="1"/>
  <c r="A1602" i="20" s="1"/>
  <c r="A1603" i="20" s="1"/>
  <c r="A1604" i="20" s="1"/>
  <c r="A1605" i="20" s="1"/>
  <c r="A1606" i="20" s="1"/>
  <c r="A1607" i="20" s="1"/>
  <c r="A1608" i="20" s="1"/>
  <c r="A1609" i="20" s="1"/>
  <c r="A1610" i="20" s="1"/>
  <c r="A1611" i="20" s="1"/>
  <c r="A1612" i="20" s="1"/>
  <c r="A1613" i="20" s="1"/>
  <c r="A1614" i="20" s="1"/>
  <c r="A1615" i="20" s="1"/>
  <c r="A1616" i="20" s="1"/>
  <c r="A1617" i="20" s="1"/>
  <c r="A1618" i="20" s="1"/>
  <c r="A1619" i="20" s="1"/>
  <c r="A1620" i="20" s="1"/>
  <c r="A1621" i="20" s="1"/>
  <c r="A1622" i="20" s="1"/>
  <c r="A1623" i="20" s="1"/>
  <c r="A1624" i="20" s="1"/>
  <c r="A1625" i="20" s="1"/>
  <c r="A1626" i="20" s="1"/>
  <c r="A1627" i="20" s="1"/>
  <c r="A1628" i="20" s="1"/>
  <c r="A1629" i="20" s="1"/>
  <c r="A1630" i="20" s="1"/>
  <c r="A1631" i="20" s="1"/>
  <c r="A1632" i="20" s="1"/>
  <c r="A1633" i="20" s="1"/>
  <c r="A1634" i="20" s="1"/>
  <c r="A1635" i="20" s="1"/>
  <c r="A1636" i="20" s="1"/>
  <c r="A1637" i="20" s="1"/>
  <c r="A1638" i="20" s="1"/>
  <c r="A1639" i="20" s="1"/>
  <c r="A1640" i="20" s="1"/>
  <c r="A1641" i="20" s="1"/>
  <c r="A1642" i="20" s="1"/>
  <c r="A1643" i="20" s="1"/>
  <c r="A1644" i="20" s="1"/>
  <c r="A1645" i="20" s="1"/>
  <c r="A1646" i="20" s="1"/>
  <c r="A1647" i="20" s="1"/>
  <c r="A1648" i="20" s="1"/>
  <c r="A1649" i="20" s="1"/>
  <c r="A1650" i="20" s="1"/>
  <c r="A1651" i="20" s="1"/>
  <c r="A1652" i="20" s="1"/>
  <c r="A1653" i="20" s="1"/>
  <c r="A1654" i="20" s="1"/>
  <c r="A1655" i="20" s="1"/>
  <c r="A1656" i="20" s="1"/>
  <c r="A1657" i="20" s="1"/>
  <c r="A1658" i="20" s="1"/>
  <c r="A1659" i="20" s="1"/>
  <c r="A1660" i="20" s="1"/>
  <c r="A1661" i="20" s="1"/>
  <c r="A1662" i="20" s="1"/>
  <c r="A1663" i="20" s="1"/>
  <c r="A1664" i="20" s="1"/>
  <c r="A1665" i="20" s="1"/>
  <c r="A1666" i="20" s="1"/>
  <c r="A1667" i="20" s="1"/>
  <c r="A1668" i="20" s="1"/>
  <c r="A1669" i="20" s="1"/>
  <c r="A1670" i="20" s="1"/>
  <c r="A1671" i="20" s="1"/>
  <c r="A1672" i="20" s="1"/>
  <c r="A1673" i="20" s="1"/>
  <c r="A1674" i="20" s="1"/>
  <c r="A1675" i="20" s="1"/>
  <c r="A1676" i="20" s="1"/>
  <c r="A1677" i="20" s="1"/>
  <c r="A1678" i="20" s="1"/>
  <c r="A1679" i="20" s="1"/>
  <c r="A1680" i="20" s="1"/>
  <c r="A1681" i="20" s="1"/>
  <c r="A1682" i="20" s="1"/>
  <c r="A1683" i="20" s="1"/>
  <c r="A1684" i="20" s="1"/>
  <c r="A1685" i="20" s="1"/>
  <c r="A1686" i="20" s="1"/>
  <c r="A1687" i="20" s="1"/>
  <c r="A1688" i="20" s="1"/>
  <c r="A1689" i="20" s="1"/>
  <c r="A1690" i="20" s="1"/>
  <c r="A1691" i="20" s="1"/>
  <c r="A1692" i="20" s="1"/>
  <c r="A1693" i="20" s="1"/>
  <c r="A1694" i="20" s="1"/>
  <c r="A1695" i="20" s="1"/>
  <c r="A1696" i="20" s="1"/>
  <c r="A1697" i="20" s="1"/>
  <c r="A1698" i="20" s="1"/>
  <c r="A1699" i="20" s="1"/>
  <c r="A1700" i="20" s="1"/>
  <c r="A1701" i="20" s="1"/>
  <c r="A1702" i="20" s="1"/>
  <c r="A1703" i="20" s="1"/>
  <c r="A1704" i="20" s="1"/>
  <c r="A1705" i="20" s="1"/>
  <c r="A1706" i="20" s="1"/>
  <c r="A1707" i="20" s="1"/>
  <c r="A1708" i="20" s="1"/>
  <c r="A1709" i="20" s="1"/>
  <c r="A1710" i="20" s="1"/>
  <c r="A1711" i="20" s="1"/>
  <c r="A1712" i="20" s="1"/>
  <c r="A1713" i="20" s="1"/>
  <c r="A1714" i="20" s="1"/>
  <c r="A1715" i="20" s="1"/>
  <c r="A1716" i="20" s="1"/>
  <c r="A1717" i="20" s="1"/>
  <c r="A1718" i="20" s="1"/>
  <c r="A1719" i="20" s="1"/>
  <c r="A1720" i="20" s="1"/>
  <c r="A1721" i="20" s="1"/>
  <c r="A1722" i="20" s="1"/>
  <c r="A1723" i="20" s="1"/>
  <c r="A1724" i="20" s="1"/>
  <c r="A1725" i="20" s="1"/>
  <c r="A1726" i="20" s="1"/>
  <c r="A1727" i="20" s="1"/>
  <c r="A1728" i="20" s="1"/>
  <c r="A1729" i="20" s="1"/>
  <c r="A1730" i="20" s="1"/>
  <c r="A1731" i="20" s="1"/>
  <c r="A1732" i="20" s="1"/>
  <c r="A1733" i="20" s="1"/>
  <c r="A1734" i="20" s="1"/>
  <c r="A1735" i="20" s="1"/>
  <c r="A1736" i="20" s="1"/>
  <c r="A1737" i="20" s="1"/>
  <c r="A1738" i="20" s="1"/>
  <c r="A1739" i="20" s="1"/>
  <c r="A1740" i="20" s="1"/>
  <c r="A1741" i="20" s="1"/>
  <c r="A1742" i="20" s="1"/>
  <c r="A1743" i="20" s="1"/>
  <c r="A1744" i="20" s="1"/>
  <c r="A1745" i="20" s="1"/>
  <c r="A1746" i="20" s="1"/>
  <c r="A1747" i="20" s="1"/>
  <c r="A1748" i="20" s="1"/>
  <c r="A1749" i="20" s="1"/>
  <c r="A1750" i="20" s="1"/>
  <c r="A1751" i="20" s="1"/>
  <c r="A1752" i="20" s="1"/>
  <c r="A1753" i="20" s="1"/>
  <c r="A1754" i="20" s="1"/>
  <c r="A1755" i="20" s="1"/>
  <c r="A1756" i="20" s="1"/>
  <c r="A1757" i="20" s="1"/>
  <c r="A1758" i="20" s="1"/>
  <c r="A1759" i="20" s="1"/>
  <c r="A1760" i="20" s="1"/>
  <c r="A1761" i="20" s="1"/>
  <c r="A1762" i="20" s="1"/>
  <c r="A1763" i="20" s="1"/>
  <c r="A1764" i="20" s="1"/>
  <c r="A1765" i="20" s="1"/>
  <c r="A1766" i="20" s="1"/>
  <c r="A1767" i="20" s="1"/>
  <c r="A1768" i="20" s="1"/>
  <c r="A1769" i="20" s="1"/>
  <c r="A1770" i="20" s="1"/>
  <c r="A1771" i="20" s="1"/>
  <c r="A1772" i="20" s="1"/>
  <c r="A1773" i="20" s="1"/>
  <c r="A1774" i="20" s="1"/>
  <c r="A1775" i="20" s="1"/>
  <c r="A1776" i="20" s="1"/>
  <c r="A1777" i="20" s="1"/>
  <c r="A1778" i="20" s="1"/>
  <c r="A1779" i="20" s="1"/>
  <c r="A1780" i="20" s="1"/>
  <c r="A1781" i="20" s="1"/>
  <c r="A1782" i="20" s="1"/>
  <c r="A1783" i="20" s="1"/>
  <c r="A1784" i="20" s="1"/>
  <c r="A1785" i="20" s="1"/>
  <c r="A1786" i="20" s="1"/>
  <c r="A1787" i="20" s="1"/>
  <c r="A1788" i="20" s="1"/>
  <c r="A1789" i="20" s="1"/>
  <c r="A1790" i="20" s="1"/>
  <c r="A1791" i="20" s="1"/>
  <c r="A1792" i="20" s="1"/>
  <c r="A1793" i="20" s="1"/>
  <c r="A1794" i="20" s="1"/>
  <c r="A1795" i="20" s="1"/>
  <c r="A1796" i="20" s="1"/>
  <c r="A1797" i="20" s="1"/>
  <c r="A1798" i="20" s="1"/>
  <c r="A1799" i="20" s="1"/>
  <c r="A1800" i="20" s="1"/>
  <c r="A1801" i="20" s="1"/>
  <c r="A1802" i="20" s="1"/>
  <c r="A1803" i="20" s="1"/>
  <c r="A1804" i="20" s="1"/>
  <c r="A1805" i="20" s="1"/>
  <c r="A1806" i="20" s="1"/>
  <c r="A1807" i="20" s="1"/>
  <c r="A1808" i="20" s="1"/>
  <c r="A1809" i="20" s="1"/>
  <c r="A1810" i="20" s="1"/>
  <c r="A1811" i="20" s="1"/>
  <c r="A1812" i="20" s="1"/>
  <c r="A1813" i="20" s="1"/>
  <c r="A1814" i="20" s="1"/>
  <c r="A1815" i="20" s="1"/>
  <c r="A1816" i="20" s="1"/>
  <c r="A1817" i="20" s="1"/>
  <c r="A1818" i="20" s="1"/>
  <c r="A1819" i="20" s="1"/>
  <c r="A1820" i="20" s="1"/>
  <c r="A1821" i="20" s="1"/>
  <c r="A1822" i="20" s="1"/>
  <c r="A1823" i="20" s="1"/>
  <c r="A1824" i="20" s="1"/>
  <c r="A1825" i="20" s="1"/>
  <c r="A1826" i="20" s="1"/>
  <c r="A1827" i="20" s="1"/>
  <c r="A1828" i="20" s="1"/>
  <c r="A1829" i="20" s="1"/>
  <c r="A1830" i="20" s="1"/>
  <c r="A1831" i="20" s="1"/>
  <c r="A1832" i="20" s="1"/>
  <c r="A1833" i="20" s="1"/>
  <c r="A1834" i="20" s="1"/>
  <c r="A1835" i="20" s="1"/>
  <c r="A1836" i="20" s="1"/>
  <c r="A1837" i="20" s="1"/>
  <c r="A1838" i="20" s="1"/>
  <c r="A1839" i="20" s="1"/>
  <c r="A1840" i="20" s="1"/>
  <c r="A1841" i="20" s="1"/>
  <c r="A1842" i="20" s="1"/>
  <c r="A1843" i="20" s="1"/>
  <c r="A1844" i="20" s="1"/>
  <c r="A1845" i="20" s="1"/>
  <c r="A1846" i="20" s="1"/>
  <c r="A1847" i="20" s="1"/>
  <c r="A1848" i="20" s="1"/>
  <c r="A1849" i="20" s="1"/>
  <c r="A1850" i="20" s="1"/>
  <c r="A1851" i="20" s="1"/>
  <c r="A1852" i="20" s="1"/>
  <c r="A1853" i="20" s="1"/>
  <c r="A1854" i="20" s="1"/>
  <c r="A1855" i="20" s="1"/>
  <c r="A1856" i="20" s="1"/>
  <c r="A1857" i="20" s="1"/>
  <c r="A1858" i="20" s="1"/>
  <c r="A1859" i="20" s="1"/>
  <c r="A1860" i="20" s="1"/>
  <c r="A1861" i="20" s="1"/>
  <c r="A1862" i="20" s="1"/>
  <c r="A1863" i="20" s="1"/>
  <c r="A1864" i="20" s="1"/>
  <c r="A1865" i="20" s="1"/>
  <c r="A1866" i="20" s="1"/>
  <c r="A1867" i="20" s="1"/>
  <c r="A1868" i="20" s="1"/>
  <c r="A1869" i="20" s="1"/>
  <c r="A1870" i="20" s="1"/>
  <c r="A1871" i="20" s="1"/>
  <c r="A1872" i="20" s="1"/>
  <c r="A1873" i="20" s="1"/>
  <c r="A1874" i="20" s="1"/>
  <c r="A1875" i="20" s="1"/>
  <c r="A1876" i="20" s="1"/>
  <c r="A1877" i="20" s="1"/>
  <c r="A1878" i="20" s="1"/>
  <c r="A1879" i="20" s="1"/>
  <c r="A1880" i="20" s="1"/>
  <c r="A1881" i="20" s="1"/>
  <c r="A1882" i="20" s="1"/>
  <c r="A1883" i="20" s="1"/>
  <c r="A1884" i="20" s="1"/>
  <c r="A1885" i="20" s="1"/>
  <c r="A1886" i="20" s="1"/>
  <c r="A1887" i="20" s="1"/>
  <c r="A1888" i="20" s="1"/>
  <c r="A1889" i="20" s="1"/>
  <c r="A1890" i="20" s="1"/>
  <c r="A1891" i="20" s="1"/>
  <c r="A1892" i="20" s="1"/>
  <c r="A1893" i="20" s="1"/>
  <c r="A1894" i="20" s="1"/>
  <c r="A1895" i="20" s="1"/>
  <c r="A1896" i="20" s="1"/>
  <c r="A1897" i="20" s="1"/>
  <c r="A1898" i="20" s="1"/>
  <c r="A1899" i="20" s="1"/>
  <c r="A1900" i="20" s="1"/>
  <c r="A1901" i="20" s="1"/>
  <c r="A1902" i="20" s="1"/>
  <c r="A1903" i="20" s="1"/>
  <c r="A1904" i="20" s="1"/>
  <c r="A1905" i="20" s="1"/>
  <c r="A1906" i="20" s="1"/>
  <c r="A1907" i="20" s="1"/>
  <c r="A1908" i="20" s="1"/>
  <c r="A1909" i="20" s="1"/>
  <c r="A1910" i="20" s="1"/>
  <c r="A1911" i="20" s="1"/>
  <c r="A1912" i="20" s="1"/>
  <c r="A1913" i="20" s="1"/>
  <c r="A1914" i="20" s="1"/>
  <c r="A1915" i="20" s="1"/>
  <c r="A1916" i="20" s="1"/>
  <c r="A1917" i="20" s="1"/>
  <c r="A1918" i="20" s="1"/>
  <c r="A1919" i="20" s="1"/>
  <c r="A1920" i="20" s="1"/>
  <c r="A1921" i="20" s="1"/>
  <c r="A1922" i="20" s="1"/>
  <c r="A1923" i="20" s="1"/>
  <c r="A1924" i="20" s="1"/>
  <c r="A1925" i="20" s="1"/>
  <c r="A1926" i="20" s="1"/>
  <c r="A1927" i="20" s="1"/>
  <c r="A1928" i="20" s="1"/>
  <c r="A1929" i="20" s="1"/>
  <c r="A1930" i="20" s="1"/>
  <c r="A1931" i="20" s="1"/>
  <c r="A1932" i="20" s="1"/>
  <c r="A1933" i="20" s="1"/>
  <c r="A1934" i="20" s="1"/>
  <c r="A1935" i="20" s="1"/>
  <c r="A1936" i="20" s="1"/>
  <c r="A1937" i="20" s="1"/>
  <c r="A1938" i="20" s="1"/>
  <c r="A1939" i="20" s="1"/>
  <c r="A1940" i="20" s="1"/>
  <c r="A1941" i="20" s="1"/>
  <c r="A1942" i="20" s="1"/>
  <c r="A1943" i="20" s="1"/>
  <c r="A1944" i="20" s="1"/>
  <c r="A1945" i="20" s="1"/>
  <c r="A1946" i="20" s="1"/>
  <c r="A1947" i="20" s="1"/>
  <c r="A1948" i="20" s="1"/>
  <c r="A1949" i="20" s="1"/>
  <c r="A1950" i="20" s="1"/>
  <c r="A1951" i="20" s="1"/>
  <c r="A1952" i="20" s="1"/>
  <c r="A1953" i="20" s="1"/>
  <c r="A1954" i="20" s="1"/>
  <c r="A1955" i="20" s="1"/>
  <c r="A1956" i="20" s="1"/>
  <c r="A1957" i="20" s="1"/>
  <c r="A1958" i="20" s="1"/>
  <c r="A1959" i="20" s="1"/>
  <c r="A1960" i="20" s="1"/>
  <c r="A1961" i="20" s="1"/>
  <c r="A1962" i="20" s="1"/>
  <c r="A1963" i="20" s="1"/>
  <c r="A1964" i="20" s="1"/>
  <c r="A1965" i="20" s="1"/>
  <c r="A1966" i="20" s="1"/>
  <c r="A1967" i="20" s="1"/>
  <c r="A1968" i="20" s="1"/>
  <c r="A1969" i="20" s="1"/>
  <c r="A1970" i="20" s="1"/>
  <c r="A1971" i="20" s="1"/>
  <c r="A1972" i="20" s="1"/>
  <c r="A1973" i="20" s="1"/>
  <c r="A1974" i="20" s="1"/>
  <c r="A1975" i="20" s="1"/>
  <c r="A1976" i="20" s="1"/>
  <c r="A1977" i="20" s="1"/>
  <c r="A1978" i="20" s="1"/>
  <c r="A1979" i="20" s="1"/>
  <c r="A1980" i="20" s="1"/>
  <c r="A1981" i="20" s="1"/>
  <c r="A1982" i="20" s="1"/>
  <c r="A1983" i="20" s="1"/>
  <c r="A1984" i="20" s="1"/>
  <c r="A1985" i="20" s="1"/>
  <c r="A1986" i="20" s="1"/>
  <c r="A1987" i="20" s="1"/>
  <c r="A1988" i="20" s="1"/>
  <c r="A1989" i="20" s="1"/>
  <c r="A1990" i="20" s="1"/>
  <c r="A1991" i="20" s="1"/>
  <c r="A1992" i="20" s="1"/>
  <c r="A1993" i="20" s="1"/>
  <c r="A1994" i="20" s="1"/>
  <c r="A1995" i="20" s="1"/>
  <c r="A1996" i="20" s="1"/>
  <c r="A1997" i="20" s="1"/>
  <c r="A1998" i="20" s="1"/>
  <c r="A1999" i="20" s="1"/>
  <c r="A2000" i="20" s="1"/>
  <c r="A2001" i="20" s="1"/>
  <c r="A2002" i="20" s="1"/>
  <c r="A2003" i="20" s="1"/>
  <c r="A2004" i="20" s="1"/>
  <c r="A2005" i="20" s="1"/>
  <c r="A2006" i="20" s="1"/>
  <c r="A2007" i="20" s="1"/>
  <c r="A2008" i="20" s="1"/>
  <c r="A2009" i="20" s="1"/>
  <c r="A2010" i="20" s="1"/>
  <c r="A2011" i="20" s="1"/>
  <c r="A2012" i="20" s="1"/>
  <c r="A2013" i="20" s="1"/>
  <c r="A2014" i="20" s="1"/>
  <c r="A2015" i="20" s="1"/>
  <c r="A2016" i="20" s="1"/>
  <c r="A2017" i="20" s="1"/>
  <c r="A2018" i="20" s="1"/>
  <c r="A2019" i="20" s="1"/>
  <c r="A2020" i="20" s="1"/>
  <c r="A2021" i="20" s="1"/>
  <c r="A2022" i="20" s="1"/>
  <c r="A2023" i="20" s="1"/>
  <c r="A2024" i="20" s="1"/>
  <c r="A2025" i="20" s="1"/>
  <c r="A2026" i="20" s="1"/>
  <c r="A2027" i="20" s="1"/>
  <c r="A2028" i="20" s="1"/>
  <c r="A2029" i="20" s="1"/>
  <c r="A2030" i="20" s="1"/>
  <c r="A2031" i="20" s="1"/>
  <c r="A2032" i="20" s="1"/>
  <c r="A2033" i="20" s="1"/>
  <c r="A2034" i="20" s="1"/>
  <c r="A2035" i="20" s="1"/>
  <c r="A2036" i="20" s="1"/>
  <c r="A2037" i="20" s="1"/>
  <c r="A2038" i="20" s="1"/>
  <c r="A2039" i="20" s="1"/>
  <c r="A2040" i="20" s="1"/>
  <c r="A2041" i="20" s="1"/>
  <c r="A2042" i="20" s="1"/>
  <c r="A2043" i="20" s="1"/>
  <c r="A2044" i="20" s="1"/>
  <c r="A2045" i="20" s="1"/>
  <c r="A2046" i="20" s="1"/>
  <c r="A2047" i="20" s="1"/>
  <c r="A2048" i="20" s="1"/>
  <c r="A2049" i="20" s="1"/>
  <c r="A2050" i="20" s="1"/>
  <c r="A2051" i="20" s="1"/>
  <c r="A2052" i="20" s="1"/>
  <c r="A2053" i="20" s="1"/>
  <c r="A2054" i="20" s="1"/>
  <c r="A2055" i="20" s="1"/>
  <c r="A2056" i="20" s="1"/>
  <c r="A2057" i="20" s="1"/>
  <c r="A2058" i="20" s="1"/>
  <c r="A2059" i="20" s="1"/>
  <c r="A2060" i="20" s="1"/>
  <c r="A2061" i="20" s="1"/>
  <c r="A2062" i="20" s="1"/>
  <c r="A2063" i="20" s="1"/>
  <c r="A2064" i="20" s="1"/>
  <c r="A2065" i="20" s="1"/>
  <c r="A2066" i="20" s="1"/>
  <c r="A2067" i="20" s="1"/>
  <c r="A2068" i="20" s="1"/>
  <c r="A2069" i="20" s="1"/>
  <c r="A2070" i="20" s="1"/>
  <c r="A2071" i="20" s="1"/>
  <c r="A2072" i="20" s="1"/>
  <c r="A2073" i="20" s="1"/>
  <c r="A2074" i="20" s="1"/>
  <c r="A2075" i="20" s="1"/>
  <c r="A2076" i="20" s="1"/>
  <c r="A2077" i="20" s="1"/>
  <c r="A2078" i="20" s="1"/>
  <c r="A2079" i="20" s="1"/>
  <c r="A2080" i="20" s="1"/>
  <c r="A2081" i="20" s="1"/>
  <c r="A2082" i="20" s="1"/>
  <c r="A2083" i="20" s="1"/>
  <c r="A2084" i="20" s="1"/>
  <c r="A2085" i="20" s="1"/>
  <c r="A2086" i="20" s="1"/>
  <c r="A2087" i="20" s="1"/>
  <c r="A2088" i="20" s="1"/>
  <c r="A2089" i="20" s="1"/>
  <c r="A2090" i="20" s="1"/>
  <c r="A2091" i="20" s="1"/>
  <c r="A2092" i="20" s="1"/>
  <c r="A2093" i="20" s="1"/>
  <c r="A2094" i="20" s="1"/>
  <c r="A2095" i="20" s="1"/>
  <c r="A2096" i="20" s="1"/>
  <c r="A2097" i="20" s="1"/>
  <c r="A2098" i="20" s="1"/>
  <c r="A2099" i="20" s="1"/>
  <c r="A2100" i="20" s="1"/>
  <c r="A2101" i="20" s="1"/>
  <c r="A2102" i="20" s="1"/>
  <c r="A2103" i="20" s="1"/>
  <c r="A2104" i="20" s="1"/>
  <c r="A2105" i="20" s="1"/>
  <c r="A2106" i="20" s="1"/>
  <c r="A2107" i="20" s="1"/>
  <c r="A2108" i="20" s="1"/>
  <c r="A2109" i="20" s="1"/>
  <c r="A2110" i="20" s="1"/>
  <c r="A2111" i="20" s="1"/>
  <c r="A2112" i="20" s="1"/>
  <c r="A2113" i="20" s="1"/>
  <c r="A2114" i="20" s="1"/>
  <c r="A2115" i="20" s="1"/>
  <c r="A2116" i="20" s="1"/>
  <c r="A2117" i="20" s="1"/>
  <c r="A2118" i="20" s="1"/>
  <c r="A2119" i="20" s="1"/>
  <c r="A2120" i="20" s="1"/>
  <c r="A2121" i="20" s="1"/>
  <c r="A2122" i="20" s="1"/>
  <c r="A2123" i="20" s="1"/>
  <c r="A2124" i="20" s="1"/>
  <c r="A2125" i="20" s="1"/>
  <c r="A2126" i="20" s="1"/>
  <c r="A2127" i="20" s="1"/>
  <c r="A2128" i="20" s="1"/>
  <c r="A2129" i="20" s="1"/>
  <c r="A2130" i="20" s="1"/>
  <c r="A2131" i="20" s="1"/>
  <c r="A2132" i="20" s="1"/>
  <c r="A2133" i="20" s="1"/>
  <c r="A2134" i="20" s="1"/>
  <c r="A2135" i="20" s="1"/>
  <c r="A2136" i="20" s="1"/>
  <c r="A2137" i="20" s="1"/>
  <c r="A2138" i="20" s="1"/>
  <c r="A2139" i="20" s="1"/>
  <c r="A2140" i="20" s="1"/>
  <c r="A2141" i="20" s="1"/>
  <c r="A2142" i="20" s="1"/>
  <c r="A2143" i="20" s="1"/>
  <c r="A2144" i="20" s="1"/>
  <c r="A2145" i="20" s="1"/>
  <c r="A2146" i="20" s="1"/>
  <c r="A2147" i="20" s="1"/>
  <c r="A2148" i="20" s="1"/>
  <c r="A2149" i="20" s="1"/>
  <c r="A2150" i="20" s="1"/>
  <c r="A2151" i="20" s="1"/>
  <c r="A2152" i="20" s="1"/>
  <c r="A2153" i="20" s="1"/>
  <c r="A2154" i="20" s="1"/>
  <c r="A2155" i="20" s="1"/>
  <c r="A2156" i="20" s="1"/>
  <c r="A2157" i="20" s="1"/>
  <c r="A2158" i="20" s="1"/>
  <c r="A2159" i="20" s="1"/>
  <c r="A2160" i="20" s="1"/>
  <c r="A2161" i="20" s="1"/>
  <c r="A2162" i="20" s="1"/>
  <c r="A2163" i="20" s="1"/>
  <c r="A2164" i="20" s="1"/>
  <c r="A2165" i="20" s="1"/>
  <c r="A2166" i="20" s="1"/>
  <c r="A2167" i="20" s="1"/>
  <c r="A2168" i="20" s="1"/>
  <c r="A2169" i="20" s="1"/>
  <c r="A2170" i="20" s="1"/>
  <c r="A2171" i="20" s="1"/>
  <c r="A2172" i="20" s="1"/>
  <c r="A2173" i="20" s="1"/>
  <c r="A2174" i="20" s="1"/>
  <c r="A2175" i="20" s="1"/>
  <c r="A2176" i="20" s="1"/>
  <c r="A2177" i="20" s="1"/>
  <c r="A2178" i="20" s="1"/>
  <c r="A2179" i="20" s="1"/>
  <c r="A2180" i="20" s="1"/>
  <c r="A2181" i="20" s="1"/>
  <c r="A2182" i="20" s="1"/>
  <c r="A2183" i="20" s="1"/>
  <c r="A2184" i="20" s="1"/>
  <c r="A2185" i="20" s="1"/>
  <c r="A2186" i="20" s="1"/>
  <c r="A2187" i="20" s="1"/>
  <c r="A2188" i="20" s="1"/>
  <c r="A2189" i="20" s="1"/>
  <c r="A2190" i="20" s="1"/>
  <c r="A2191" i="20" s="1"/>
  <c r="A2192" i="20" s="1"/>
  <c r="A2193" i="20" s="1"/>
  <c r="A2194" i="20" s="1"/>
  <c r="A2195" i="20" s="1"/>
  <c r="A2196" i="20" s="1"/>
  <c r="A2197" i="20" s="1"/>
  <c r="A2198" i="20" s="1"/>
  <c r="A2199" i="20" s="1"/>
  <c r="A2200" i="20" s="1"/>
  <c r="A2201" i="20" s="1"/>
  <c r="A2202" i="20" s="1"/>
  <c r="A2203" i="20" s="1"/>
  <c r="A2204" i="20" s="1"/>
  <c r="A2205" i="20" s="1"/>
  <c r="A2206" i="20" s="1"/>
  <c r="A2207" i="20" s="1"/>
  <c r="A2208" i="20" s="1"/>
  <c r="A2209" i="20" s="1"/>
  <c r="A2210" i="20" s="1"/>
  <c r="A2211" i="20" s="1"/>
  <c r="A2212" i="20" s="1"/>
  <c r="A2213" i="20" s="1"/>
  <c r="A2214" i="20" s="1"/>
  <c r="A2215" i="20" s="1"/>
  <c r="A2216" i="20" s="1"/>
  <c r="A2217" i="20" s="1"/>
  <c r="A2218" i="20" s="1"/>
  <c r="A2219" i="20" s="1"/>
  <c r="A2220" i="20" s="1"/>
  <c r="A2221" i="20" s="1"/>
  <c r="A2222" i="20" s="1"/>
  <c r="A2223" i="20" s="1"/>
  <c r="A2224" i="20" s="1"/>
  <c r="A2225" i="20" s="1"/>
  <c r="A2226" i="20" s="1"/>
  <c r="A2227" i="20" s="1"/>
  <c r="A2228" i="20" s="1"/>
  <c r="A2229" i="20" s="1"/>
  <c r="A2230" i="20" s="1"/>
  <c r="A2231" i="20" s="1"/>
  <c r="A2232" i="20" s="1"/>
  <c r="A2233" i="20" s="1"/>
  <c r="A2234" i="20" s="1"/>
  <c r="A2235" i="20" s="1"/>
  <c r="A2236" i="20" s="1"/>
  <c r="A2237" i="20" s="1"/>
  <c r="A2238" i="20" s="1"/>
  <c r="A2239" i="20" s="1"/>
  <c r="A2240" i="20" s="1"/>
  <c r="A2241" i="20" s="1"/>
  <c r="A2242" i="20" s="1"/>
  <c r="A2243" i="20" s="1"/>
  <c r="A2244" i="20" s="1"/>
  <c r="A2245" i="20" s="1"/>
  <c r="A2246" i="20" s="1"/>
  <c r="A2247" i="20" s="1"/>
  <c r="A2248" i="20" s="1"/>
  <c r="A2249" i="20" s="1"/>
  <c r="A2250" i="20" s="1"/>
  <c r="A2251" i="20" s="1"/>
  <c r="A2252" i="20" s="1"/>
  <c r="A2253" i="20" s="1"/>
  <c r="A2254" i="20" s="1"/>
  <c r="A2255" i="20" s="1"/>
  <c r="A2256" i="20" s="1"/>
  <c r="A2257" i="20" s="1"/>
  <c r="A2258" i="20" s="1"/>
  <c r="A2259" i="20" s="1"/>
  <c r="A2260" i="20" s="1"/>
  <c r="A2261" i="20" s="1"/>
  <c r="A2262" i="20" s="1"/>
  <c r="A2263" i="20" s="1"/>
  <c r="A2264" i="20" s="1"/>
  <c r="A2265" i="20" s="1"/>
  <c r="A2266" i="20" s="1"/>
  <c r="A2267" i="20" s="1"/>
  <c r="A2268" i="20" s="1"/>
  <c r="A2269" i="20" s="1"/>
  <c r="A2270" i="20" s="1"/>
  <c r="A2271" i="20" s="1"/>
  <c r="A2272" i="20" s="1"/>
  <c r="A2273" i="20" s="1"/>
  <c r="A2274" i="20" s="1"/>
  <c r="A2275" i="20" s="1"/>
  <c r="A2276" i="20" s="1"/>
  <c r="A2277" i="20" s="1"/>
  <c r="A2278" i="20" s="1"/>
  <c r="A2279" i="20" s="1"/>
  <c r="A2280" i="20" s="1"/>
  <c r="A2281" i="20" s="1"/>
  <c r="A2282" i="20" s="1"/>
  <c r="A2283" i="20" s="1"/>
  <c r="A2284" i="20" s="1"/>
  <c r="A2285" i="20" s="1"/>
  <c r="A2286" i="20" s="1"/>
  <c r="A2287" i="20" s="1"/>
  <c r="A2288" i="20" s="1"/>
  <c r="A2289" i="20" s="1"/>
  <c r="A2290" i="20" s="1"/>
  <c r="A2291" i="20" s="1"/>
  <c r="A2292" i="20" s="1"/>
  <c r="A2293" i="20" s="1"/>
  <c r="A2294" i="20" s="1"/>
  <c r="A2295" i="20" s="1"/>
  <c r="A2296" i="20" s="1"/>
  <c r="A2297" i="20" s="1"/>
  <c r="A2298" i="20" s="1"/>
  <c r="A2299" i="20" s="1"/>
  <c r="A2300" i="20" s="1"/>
  <c r="A2301" i="20" s="1"/>
  <c r="A2302" i="20" s="1"/>
  <c r="A2303" i="20" s="1"/>
  <c r="A2304" i="20" s="1"/>
  <c r="A2305" i="20" s="1"/>
  <c r="A2306" i="20" s="1"/>
  <c r="A2307" i="20" s="1"/>
  <c r="A2308" i="20" s="1"/>
  <c r="A2309" i="20" s="1"/>
  <c r="A2310" i="20" s="1"/>
  <c r="A2311" i="20" s="1"/>
  <c r="A2312" i="20" s="1"/>
  <c r="A2313" i="20" s="1"/>
  <c r="A2314" i="20" s="1"/>
  <c r="A2315" i="20" s="1"/>
  <c r="A2316" i="20" s="1"/>
  <c r="A2317" i="20" s="1"/>
  <c r="A2318" i="20" s="1"/>
  <c r="A2319" i="20" s="1"/>
  <c r="A2320" i="20" s="1"/>
  <c r="A2321" i="20" s="1"/>
  <c r="A2322" i="20" s="1"/>
  <c r="A2323" i="20" s="1"/>
  <c r="A2324" i="20" s="1"/>
  <c r="A2325" i="20" s="1"/>
  <c r="A2326" i="20" s="1"/>
  <c r="A2327" i="20" s="1"/>
  <c r="A2328" i="20" s="1"/>
  <c r="A2329" i="20" s="1"/>
  <c r="A2330" i="20" s="1"/>
  <c r="A2331" i="20" s="1"/>
  <c r="A2332" i="20" s="1"/>
  <c r="A2333" i="20" s="1"/>
  <c r="A2334" i="20" s="1"/>
  <c r="A2335" i="20" s="1"/>
  <c r="A2336" i="20" s="1"/>
  <c r="A2337" i="20" s="1"/>
  <c r="A2338" i="20" s="1"/>
  <c r="A2339" i="20" s="1"/>
  <c r="A2340" i="20" s="1"/>
  <c r="A2341" i="20" s="1"/>
  <c r="A2342" i="20" s="1"/>
  <c r="A2343" i="20" s="1"/>
  <c r="A2344" i="20" s="1"/>
  <c r="A2345" i="20" s="1"/>
  <c r="A2346" i="20" s="1"/>
  <c r="A2347" i="20" s="1"/>
  <c r="A2348" i="20" s="1"/>
  <c r="A2349" i="20" s="1"/>
  <c r="A2350" i="20" s="1"/>
  <c r="A2351" i="20" s="1"/>
  <c r="A2352" i="20" s="1"/>
  <c r="A2353" i="20" s="1"/>
  <c r="A2354" i="20" s="1"/>
  <c r="A2355" i="20" s="1"/>
  <c r="A2356" i="20" s="1"/>
  <c r="A2357" i="20" s="1"/>
  <c r="A2358" i="20" s="1"/>
  <c r="A2359" i="20" s="1"/>
  <c r="A2360" i="20" s="1"/>
  <c r="A2361" i="20" s="1"/>
  <c r="A2362" i="20" s="1"/>
  <c r="A2363" i="20" s="1"/>
  <c r="A2364" i="20" s="1"/>
  <c r="A2365" i="20" s="1"/>
  <c r="A2366" i="20" s="1"/>
  <c r="A2367" i="20" s="1"/>
  <c r="A2368" i="20" s="1"/>
  <c r="A2369" i="20" s="1"/>
  <c r="A2370" i="20" s="1"/>
  <c r="A2371" i="20" s="1"/>
  <c r="A2372" i="20" s="1"/>
  <c r="A2373" i="20" s="1"/>
  <c r="A2374" i="20" s="1"/>
  <c r="A2375" i="20" s="1"/>
  <c r="A2376" i="20" s="1"/>
  <c r="A2377" i="20" s="1"/>
  <c r="A2378" i="20" s="1"/>
  <c r="A2379" i="20" s="1"/>
  <c r="A2380" i="20" s="1"/>
  <c r="A2381" i="20" s="1"/>
  <c r="A2382" i="20" s="1"/>
  <c r="A2383" i="20" s="1"/>
  <c r="A2384" i="20" s="1"/>
  <c r="A2385" i="20" s="1"/>
  <c r="A2386" i="20" s="1"/>
  <c r="A2387" i="20" s="1"/>
  <c r="A2388" i="20" s="1"/>
  <c r="A2389" i="20" s="1"/>
  <c r="A2390" i="20" s="1"/>
  <c r="A2391" i="20" s="1"/>
  <c r="A2392" i="20" s="1"/>
  <c r="A2393" i="20" s="1"/>
  <c r="A2394" i="20" s="1"/>
  <c r="A2395" i="20" s="1"/>
  <c r="A2396" i="20" s="1"/>
  <c r="A2397" i="20" s="1"/>
  <c r="A2398" i="20" s="1"/>
  <c r="A2399" i="20" s="1"/>
  <c r="A2400" i="20" s="1"/>
  <c r="A2401" i="20" s="1"/>
  <c r="A2402" i="20" s="1"/>
  <c r="A2403" i="20" s="1"/>
  <c r="A2404" i="20" s="1"/>
  <c r="A2405" i="20" s="1"/>
  <c r="A2406" i="20" s="1"/>
  <c r="A2407" i="20" s="1"/>
  <c r="A2408" i="20" s="1"/>
  <c r="A2409" i="20" s="1"/>
  <c r="A2410" i="20" s="1"/>
  <c r="A2411" i="20" s="1"/>
  <c r="A2412" i="20" s="1"/>
  <c r="A2413" i="20" s="1"/>
  <c r="A2414" i="20" s="1"/>
  <c r="A2415" i="20" s="1"/>
  <c r="A2416" i="20" s="1"/>
  <c r="A2417" i="20" s="1"/>
  <c r="A2418" i="20" s="1"/>
  <c r="A2419" i="20" s="1"/>
  <c r="A2420" i="20" s="1"/>
  <c r="A2421" i="20" s="1"/>
  <c r="A2422" i="20" s="1"/>
  <c r="A2423" i="20" s="1"/>
  <c r="A2424" i="20" s="1"/>
  <c r="A2425" i="20" s="1"/>
  <c r="A2426" i="20" s="1"/>
  <c r="A2427" i="20" s="1"/>
  <c r="A2428" i="20" s="1"/>
  <c r="A2429" i="20" s="1"/>
  <c r="A2430" i="20" s="1"/>
  <c r="A2431" i="20" s="1"/>
  <c r="A2432" i="20" s="1"/>
  <c r="A2433" i="20" s="1"/>
  <c r="A2434" i="20" s="1"/>
  <c r="A2435" i="20" s="1"/>
  <c r="A2436" i="20" s="1"/>
  <c r="A2437" i="20" s="1"/>
  <c r="A2438" i="20" s="1"/>
  <c r="A2439" i="20" s="1"/>
  <c r="A2440" i="20" s="1"/>
  <c r="A2441" i="20" s="1"/>
  <c r="A2442" i="20" s="1"/>
  <c r="A2443" i="20" s="1"/>
  <c r="A2444" i="20" s="1"/>
  <c r="A2445" i="20" s="1"/>
  <c r="A2446" i="20" s="1"/>
  <c r="A2447" i="20" s="1"/>
  <c r="A2448" i="20" s="1"/>
  <c r="A2449" i="20" s="1"/>
  <c r="A2450" i="20" s="1"/>
  <c r="A2451" i="20" s="1"/>
  <c r="A2452" i="20" s="1"/>
  <c r="A2453" i="20" s="1"/>
  <c r="A2454" i="20" s="1"/>
  <c r="A2455" i="20" s="1"/>
  <c r="A2456" i="20" s="1"/>
  <c r="A2457" i="20" s="1"/>
  <c r="A2458" i="20" s="1"/>
  <c r="A2459" i="20" s="1"/>
  <c r="A2460" i="20" s="1"/>
  <c r="A2461" i="20" s="1"/>
  <c r="A2462" i="20" s="1"/>
  <c r="A2463" i="20" s="1"/>
  <c r="A2464" i="20" s="1"/>
  <c r="A2465" i="20" s="1"/>
  <c r="A2466" i="20" s="1"/>
  <c r="A2467" i="20" s="1"/>
  <c r="A2468" i="20" s="1"/>
  <c r="A2469" i="20" s="1"/>
  <c r="A2470" i="20" s="1"/>
  <c r="A2471" i="20" s="1"/>
  <c r="A2472" i="20" s="1"/>
  <c r="A2473" i="20" s="1"/>
  <c r="A2474" i="20" s="1"/>
  <c r="A2475" i="20" s="1"/>
  <c r="A2476" i="20" s="1"/>
  <c r="A2477" i="20" s="1"/>
  <c r="A2478" i="20" s="1"/>
  <c r="A2479" i="20" s="1"/>
  <c r="A2480" i="20" s="1"/>
  <c r="A2481" i="20" s="1"/>
  <c r="A2482" i="20" s="1"/>
  <c r="A2483" i="20" s="1"/>
  <c r="A2484" i="20" s="1"/>
  <c r="A2485" i="20" s="1"/>
  <c r="A2486" i="20" s="1"/>
  <c r="A2487" i="20" s="1"/>
  <c r="A2488" i="20" s="1"/>
  <c r="A2489" i="20" s="1"/>
  <c r="A2490" i="20" s="1"/>
  <c r="A2491" i="20" s="1"/>
  <c r="A2492" i="20" s="1"/>
  <c r="A2493" i="20" s="1"/>
  <c r="A2494" i="20" s="1"/>
  <c r="A2495" i="20" s="1"/>
  <c r="A2496" i="20" s="1"/>
  <c r="A2497" i="20" s="1"/>
  <c r="A2498" i="20" s="1"/>
  <c r="A2499" i="20" s="1"/>
  <c r="A2500" i="20" s="1"/>
  <c r="A2501" i="20" s="1"/>
  <c r="A2502" i="20" s="1"/>
  <c r="A2503" i="20" s="1"/>
  <c r="A2504" i="20" s="1"/>
  <c r="A2505" i="20" s="1"/>
  <c r="A2506" i="20" s="1"/>
  <c r="A2507" i="20" s="1"/>
  <c r="A2508" i="20" s="1"/>
  <c r="A2509" i="20" s="1"/>
  <c r="A2510" i="20" s="1"/>
  <c r="A2511" i="20" s="1"/>
  <c r="A2512" i="20" s="1"/>
  <c r="A2513" i="20" s="1"/>
  <c r="A2514" i="20" s="1"/>
  <c r="A2515" i="20" s="1"/>
  <c r="A2516" i="20" s="1"/>
  <c r="A2517" i="20" s="1"/>
  <c r="A2518" i="20" s="1"/>
  <c r="A2519" i="20" s="1"/>
  <c r="A2520" i="20" s="1"/>
  <c r="A2521" i="20" s="1"/>
  <c r="A2522" i="20" s="1"/>
  <c r="A2523" i="20" s="1"/>
  <c r="A2524" i="20" s="1"/>
  <c r="A2525" i="20" s="1"/>
  <c r="A2526" i="20" s="1"/>
  <c r="A2527" i="20" s="1"/>
  <c r="A2528" i="20" s="1"/>
  <c r="A2529" i="20" s="1"/>
  <c r="A2530" i="20" s="1"/>
  <c r="A2531" i="20" s="1"/>
  <c r="A2532" i="20" s="1"/>
  <c r="A2533" i="20" s="1"/>
  <c r="A2534" i="20" s="1"/>
  <c r="A2535" i="20" s="1"/>
  <c r="A2536" i="20" s="1"/>
  <c r="A2537" i="20" s="1"/>
  <c r="A2538" i="20" s="1"/>
  <c r="A2539" i="20" s="1"/>
  <c r="A2540" i="20" s="1"/>
  <c r="A2541" i="20" s="1"/>
  <c r="A2542" i="20" s="1"/>
  <c r="A2543" i="20" s="1"/>
  <c r="A2544" i="20" s="1"/>
  <c r="A2545" i="20" s="1"/>
  <c r="A2546" i="20" s="1"/>
  <c r="A2547" i="20" s="1"/>
  <c r="A2548" i="20" s="1"/>
  <c r="A2549" i="20" s="1"/>
  <c r="A2550" i="20" s="1"/>
  <c r="A2551" i="20" s="1"/>
  <c r="A2552" i="20" s="1"/>
  <c r="A2553" i="20" s="1"/>
  <c r="A2554" i="20" s="1"/>
  <c r="A2555" i="20" s="1"/>
  <c r="A2556" i="20" s="1"/>
  <c r="A2557" i="20" s="1"/>
  <c r="A2558" i="20" s="1"/>
  <c r="A2559" i="20" s="1"/>
  <c r="A2560" i="20" s="1"/>
  <c r="A2561" i="20" s="1"/>
  <c r="A2562" i="20" s="1"/>
  <c r="A2563" i="20" s="1"/>
  <c r="A2564" i="20" s="1"/>
  <c r="A2565" i="20" s="1"/>
  <c r="A2566" i="20" s="1"/>
  <c r="A2567" i="20" s="1"/>
  <c r="A2568" i="20" s="1"/>
  <c r="A2569" i="20" s="1"/>
  <c r="A2570" i="20" s="1"/>
  <c r="A2571" i="20" s="1"/>
  <c r="A2572" i="20" s="1"/>
  <c r="A2573" i="20" s="1"/>
  <c r="A2574" i="20" s="1"/>
  <c r="A2575" i="20" s="1"/>
  <c r="A2576" i="20" s="1"/>
  <c r="A2577" i="20" s="1"/>
  <c r="A2578" i="20" s="1"/>
  <c r="A2579" i="20" s="1"/>
  <c r="A2580" i="20" s="1"/>
  <c r="A2581" i="20" s="1"/>
  <c r="A2582" i="20" s="1"/>
  <c r="A2583" i="20" s="1"/>
  <c r="A2584" i="20" s="1"/>
  <c r="A2585" i="20" s="1"/>
  <c r="A2586" i="20" s="1"/>
  <c r="A2587" i="20" s="1"/>
  <c r="A2588" i="20" s="1"/>
  <c r="A2589" i="20" s="1"/>
  <c r="A2590" i="20" s="1"/>
  <c r="A2591" i="20" s="1"/>
  <c r="A2592" i="20" s="1"/>
  <c r="A2593" i="20" s="1"/>
  <c r="A2594" i="20" s="1"/>
  <c r="A2595" i="20" s="1"/>
  <c r="A2596" i="20" s="1"/>
  <c r="A2597" i="20" s="1"/>
  <c r="A2598" i="20" s="1"/>
  <c r="A2599" i="20" s="1"/>
  <c r="A2600" i="20" s="1"/>
  <c r="A2601" i="20" s="1"/>
  <c r="A2602" i="20" s="1"/>
  <c r="A2603" i="20" s="1"/>
  <c r="A2604" i="20" s="1"/>
  <c r="A2605" i="20" s="1"/>
  <c r="A2606" i="20" s="1"/>
  <c r="A2607" i="20" s="1"/>
  <c r="A2608" i="20" s="1"/>
  <c r="A2609" i="20" s="1"/>
  <c r="A2610" i="20" s="1"/>
  <c r="A2611" i="20" s="1"/>
  <c r="A2612" i="20" s="1"/>
  <c r="A2613" i="20" s="1"/>
  <c r="A2614" i="20" s="1"/>
  <c r="A2615" i="20" s="1"/>
  <c r="A2616" i="20" s="1"/>
  <c r="A2617" i="20" s="1"/>
  <c r="A2618" i="20" s="1"/>
  <c r="A2619" i="20" s="1"/>
  <c r="A2620" i="20" s="1"/>
  <c r="A2621" i="20" s="1"/>
  <c r="A2622" i="20" s="1"/>
  <c r="A2623" i="20" s="1"/>
  <c r="A2624" i="20" s="1"/>
  <c r="A2625" i="20" s="1"/>
  <c r="A2626" i="20" s="1"/>
  <c r="A2627" i="20" s="1"/>
  <c r="A2628" i="20" s="1"/>
  <c r="A2629" i="20" s="1"/>
  <c r="A2630" i="20" s="1"/>
  <c r="A2631" i="20" s="1"/>
  <c r="A2632" i="20" s="1"/>
  <c r="A2633" i="20" s="1"/>
  <c r="A2634" i="20" s="1"/>
  <c r="A2635" i="20" s="1"/>
  <c r="A2636" i="20" s="1"/>
  <c r="A2637" i="20" s="1"/>
  <c r="A2638" i="20" s="1"/>
  <c r="A2639" i="20" s="1"/>
  <c r="A2640" i="20" s="1"/>
  <c r="A2641" i="20" s="1"/>
  <c r="A2642" i="20" s="1"/>
  <c r="A2643" i="20" s="1"/>
  <c r="A2644" i="20" s="1"/>
  <c r="A2645" i="20" s="1"/>
  <c r="A2646" i="20" s="1"/>
  <c r="A2647" i="20" s="1"/>
  <c r="A2648" i="20" s="1"/>
  <c r="A2649" i="20" s="1"/>
  <c r="A2650" i="20" s="1"/>
  <c r="A2651" i="20" s="1"/>
  <c r="A2652" i="20" s="1"/>
  <c r="A2653" i="20" s="1"/>
  <c r="A2654" i="20" s="1"/>
  <c r="A2655" i="20" s="1"/>
  <c r="A2656" i="20" s="1"/>
  <c r="A2657" i="20" s="1"/>
  <c r="A2658" i="20" s="1"/>
  <c r="A2659" i="20" s="1"/>
  <c r="A2660" i="20" s="1"/>
  <c r="A2661" i="20" s="1"/>
  <c r="A2662" i="20" s="1"/>
  <c r="A2663" i="20" s="1"/>
  <c r="A2664" i="20" s="1"/>
  <c r="A2665" i="20" s="1"/>
  <c r="A2666" i="20" s="1"/>
  <c r="A2667" i="20" s="1"/>
  <c r="A2668" i="20" s="1"/>
  <c r="A2669" i="20" s="1"/>
  <c r="A2670" i="20" s="1"/>
  <c r="A2671" i="20" s="1"/>
  <c r="A2672" i="20" s="1"/>
  <c r="A2673" i="20" s="1"/>
  <c r="A2674" i="20" s="1"/>
  <c r="A2675" i="20" s="1"/>
  <c r="A2676" i="20" s="1"/>
  <c r="A2677" i="20" s="1"/>
  <c r="A2678" i="20" s="1"/>
  <c r="A2679" i="20" s="1"/>
  <c r="A2680" i="20" s="1"/>
  <c r="A2681" i="20" s="1"/>
  <c r="A2682" i="20" s="1"/>
  <c r="A2683" i="20" s="1"/>
  <c r="A2684" i="20" s="1"/>
  <c r="A2685" i="20" s="1"/>
  <c r="A2686" i="20" s="1"/>
  <c r="A2687" i="20" s="1"/>
  <c r="A2688" i="20" s="1"/>
  <c r="A2689" i="20" s="1"/>
  <c r="A2690" i="20" s="1"/>
  <c r="A2691" i="20" s="1"/>
  <c r="A2692" i="20" s="1"/>
  <c r="A2693" i="20" s="1"/>
  <c r="A2694" i="20" s="1"/>
  <c r="A2695" i="20" s="1"/>
  <c r="A2696" i="20" s="1"/>
  <c r="A2697" i="20" s="1"/>
  <c r="A2698" i="20" s="1"/>
  <c r="A2699" i="20" s="1"/>
  <c r="A2700" i="20" s="1"/>
  <c r="A2701" i="20" s="1"/>
  <c r="A2702" i="20" s="1"/>
  <c r="A2703" i="20" s="1"/>
  <c r="A2704" i="20" s="1"/>
  <c r="A2705" i="20" s="1"/>
  <c r="A2706" i="20" s="1"/>
  <c r="A2707" i="20" s="1"/>
  <c r="A2708" i="20" s="1"/>
  <c r="A2709" i="20" s="1"/>
  <c r="A2710" i="20" s="1"/>
  <c r="A2711" i="20" s="1"/>
  <c r="A2712" i="20" s="1"/>
  <c r="A2713" i="20" s="1"/>
  <c r="A2714" i="20" s="1"/>
  <c r="A2715" i="20" s="1"/>
  <c r="A2716" i="20" s="1"/>
  <c r="A2717" i="20" s="1"/>
  <c r="A2718" i="20" s="1"/>
  <c r="A2719" i="20" s="1"/>
  <c r="A2720" i="20" s="1"/>
  <c r="A2721" i="20" s="1"/>
  <c r="A2722" i="20" s="1"/>
  <c r="A2723" i="20" s="1"/>
  <c r="A2724" i="20" s="1"/>
  <c r="A2725" i="20" s="1"/>
  <c r="A2726" i="20" s="1"/>
  <c r="A2727" i="20" s="1"/>
  <c r="A2728" i="20" s="1"/>
  <c r="A2729" i="20" s="1"/>
  <c r="A2730" i="20" s="1"/>
  <c r="A2731" i="20" s="1"/>
  <c r="A2732" i="20" s="1"/>
  <c r="A2733" i="20" s="1"/>
  <c r="A2734" i="20" s="1"/>
  <c r="A2735" i="20" s="1"/>
  <c r="A2736" i="20" s="1"/>
  <c r="A2737" i="20" s="1"/>
  <c r="A2738" i="20" s="1"/>
  <c r="A2739" i="20" s="1"/>
  <c r="A2740" i="20" s="1"/>
  <c r="A2741" i="20" s="1"/>
  <c r="A2742" i="20" s="1"/>
  <c r="A2743" i="20" s="1"/>
  <c r="A2744" i="20" s="1"/>
  <c r="A2745" i="20" s="1"/>
  <c r="A2746" i="20" s="1"/>
  <c r="A2747" i="20" s="1"/>
  <c r="A2748" i="20" s="1"/>
  <c r="A2749" i="20" s="1"/>
  <c r="A2750" i="20" s="1"/>
  <c r="A2751" i="20" s="1"/>
  <c r="A2752" i="20" s="1"/>
  <c r="A2753" i="20" s="1"/>
  <c r="A2754" i="20" s="1"/>
  <c r="A2755" i="20" s="1"/>
  <c r="A2756" i="20" s="1"/>
  <c r="A2757" i="20" s="1"/>
  <c r="A2758" i="20" s="1"/>
  <c r="A2759" i="20" s="1"/>
  <c r="A2760" i="20" s="1"/>
  <c r="A2761" i="20" s="1"/>
  <c r="A2762" i="20" s="1"/>
  <c r="A2763" i="20" s="1"/>
  <c r="A2764" i="20" s="1"/>
  <c r="A2765" i="20" s="1"/>
  <c r="A2766" i="20" s="1"/>
  <c r="A2767" i="20" s="1"/>
  <c r="A2768" i="20" s="1"/>
  <c r="A2769" i="20" s="1"/>
  <c r="A2770" i="20" s="1"/>
  <c r="A2771" i="20" s="1"/>
  <c r="A2772" i="20" s="1"/>
  <c r="A2773" i="20" s="1"/>
  <c r="A2774" i="20" s="1"/>
  <c r="A2775" i="20" s="1"/>
  <c r="A2776" i="20" s="1"/>
  <c r="A2777" i="20" s="1"/>
  <c r="A2778" i="20" s="1"/>
  <c r="A2779" i="20" s="1"/>
  <c r="A2780" i="20" s="1"/>
  <c r="A2781" i="20" s="1"/>
  <c r="A2782" i="20" s="1"/>
  <c r="A2783" i="20" s="1"/>
  <c r="A2784" i="20" s="1"/>
  <c r="A2785" i="20" s="1"/>
  <c r="A2786" i="20" s="1"/>
  <c r="A2787" i="20" s="1"/>
  <c r="A2788" i="20" s="1"/>
  <c r="A2789" i="20" s="1"/>
  <c r="A2790" i="20" s="1"/>
  <c r="A2791" i="20" s="1"/>
  <c r="A2792" i="20" s="1"/>
  <c r="A2793" i="20" s="1"/>
  <c r="A2794" i="20" s="1"/>
  <c r="A2795" i="20" s="1"/>
  <c r="A2796" i="20" s="1"/>
  <c r="A2797" i="20" s="1"/>
  <c r="A2798" i="20" s="1"/>
  <c r="A2799" i="20" s="1"/>
  <c r="A2800" i="20" s="1"/>
  <c r="A2801" i="20" s="1"/>
  <c r="A2802" i="20" s="1"/>
  <c r="A2803" i="20" s="1"/>
  <c r="A2804" i="20" s="1"/>
  <c r="A2805" i="20" s="1"/>
  <c r="A2806" i="20" s="1"/>
  <c r="A2807" i="20" s="1"/>
  <c r="A2808" i="20" s="1"/>
  <c r="A2809" i="20" s="1"/>
  <c r="A2810" i="20" s="1"/>
  <c r="A2811" i="20" s="1"/>
  <c r="A2812" i="20" s="1"/>
  <c r="A2813" i="20" s="1"/>
  <c r="A2814" i="20" s="1"/>
  <c r="A2815" i="20" s="1"/>
  <c r="A2816" i="20" s="1"/>
  <c r="A2817" i="20" s="1"/>
  <c r="A2818" i="20" s="1"/>
  <c r="A2819" i="20" s="1"/>
  <c r="A2820" i="20" s="1"/>
  <c r="A2821" i="20" s="1"/>
  <c r="A2822" i="20" s="1"/>
  <c r="A2823" i="20" s="1"/>
  <c r="A2824" i="20" s="1"/>
  <c r="A2825" i="20" s="1"/>
  <c r="A2826" i="20" s="1"/>
  <c r="A2827" i="20" s="1"/>
  <c r="A2828" i="20" s="1"/>
  <c r="A2829" i="20" s="1"/>
  <c r="A2830" i="20" s="1"/>
  <c r="A2831" i="20" s="1"/>
  <c r="A2832" i="20" s="1"/>
  <c r="A2833" i="20" s="1"/>
  <c r="A2834" i="20" s="1"/>
  <c r="A2835" i="20" s="1"/>
  <c r="A2836" i="20" s="1"/>
  <c r="A2837" i="20" s="1"/>
  <c r="A2838" i="20" s="1"/>
  <c r="A2839" i="20" s="1"/>
  <c r="A2840" i="20" s="1"/>
  <c r="A2841" i="20" s="1"/>
  <c r="A2842" i="20" s="1"/>
  <c r="A2843" i="20" s="1"/>
  <c r="A2844" i="20" s="1"/>
  <c r="A2845" i="20" s="1"/>
  <c r="A2846" i="20" s="1"/>
  <c r="A2847" i="20" s="1"/>
  <c r="A2848" i="20" s="1"/>
  <c r="A2849" i="20" s="1"/>
  <c r="A2850" i="20" s="1"/>
  <c r="A2851" i="20" s="1"/>
  <c r="A2852" i="20" s="1"/>
  <c r="A2853" i="20" s="1"/>
  <c r="A2854" i="20" s="1"/>
  <c r="A2855" i="20" s="1"/>
  <c r="A2856" i="20" s="1"/>
  <c r="A2857" i="20" s="1"/>
  <c r="A2858" i="20" s="1"/>
  <c r="A2859" i="20" s="1"/>
  <c r="A2860" i="20" s="1"/>
  <c r="A2861" i="20" s="1"/>
  <c r="A2862" i="20" s="1"/>
  <c r="A2863" i="20" s="1"/>
  <c r="A2864" i="20" s="1"/>
  <c r="A2865" i="20" s="1"/>
  <c r="A2866" i="20" s="1"/>
  <c r="A2867" i="20" s="1"/>
  <c r="A2868" i="20" s="1"/>
  <c r="A2869" i="20" s="1"/>
  <c r="A2870" i="20" s="1"/>
  <c r="A2871" i="20" s="1"/>
  <c r="A2872" i="20" s="1"/>
  <c r="A2873" i="20" s="1"/>
  <c r="A2874" i="20" s="1"/>
  <c r="A2875" i="20" s="1"/>
  <c r="A2876" i="20" s="1"/>
  <c r="A2877" i="20" s="1"/>
  <c r="A2878" i="20" s="1"/>
  <c r="A2879" i="20" s="1"/>
  <c r="A2880" i="20" s="1"/>
  <c r="A2881" i="20" s="1"/>
  <c r="A2882" i="20" s="1"/>
  <c r="A2883" i="20" s="1"/>
  <c r="A2884" i="20" s="1"/>
  <c r="A2885" i="20" s="1"/>
  <c r="A2886" i="20" s="1"/>
  <c r="A2887" i="20" s="1"/>
  <c r="A2888" i="20" s="1"/>
  <c r="A2889" i="20" s="1"/>
  <c r="A2890" i="20" s="1"/>
  <c r="A2891" i="20" s="1"/>
  <c r="A2892" i="20" s="1"/>
  <c r="A2893" i="20" s="1"/>
  <c r="A2894" i="20" s="1"/>
  <c r="A2895" i="20" s="1"/>
  <c r="A2896" i="20" s="1"/>
  <c r="A2897" i="20" s="1"/>
  <c r="A2898" i="20" s="1"/>
  <c r="A2899" i="20" s="1"/>
  <c r="A2900" i="20" s="1"/>
  <c r="A2901" i="20" s="1"/>
  <c r="A2902" i="20" s="1"/>
  <c r="A2903" i="20" s="1"/>
  <c r="A2904" i="20" s="1"/>
  <c r="A2905" i="20" s="1"/>
  <c r="A2906" i="20" s="1"/>
  <c r="A2907" i="20" s="1"/>
  <c r="A2908" i="20" s="1"/>
  <c r="A2909" i="20" s="1"/>
  <c r="A2910" i="20" s="1"/>
  <c r="A2911" i="20" s="1"/>
  <c r="A2912" i="20" s="1"/>
  <c r="A2913" i="20" s="1"/>
  <c r="A2914" i="20" s="1"/>
  <c r="A2915" i="20" s="1"/>
  <c r="A2916" i="20" s="1"/>
  <c r="A2917" i="20" s="1"/>
  <c r="A2918" i="20" s="1"/>
  <c r="A2919" i="20" s="1"/>
  <c r="A2920" i="20" s="1"/>
  <c r="A2921" i="20" s="1"/>
  <c r="A2922" i="20" s="1"/>
  <c r="A2923" i="20" s="1"/>
  <c r="A2924" i="20" s="1"/>
  <c r="A2925" i="20" s="1"/>
  <c r="A2926" i="20" s="1"/>
  <c r="A2927" i="20" s="1"/>
  <c r="A2928" i="20" s="1"/>
  <c r="A2929" i="20" s="1"/>
  <c r="A2930" i="20" s="1"/>
  <c r="A2931" i="20" s="1"/>
  <c r="A2932" i="20" s="1"/>
  <c r="A2933" i="20" s="1"/>
  <c r="A2934" i="20" s="1"/>
  <c r="A2935" i="20" s="1"/>
  <c r="A2936" i="20" s="1"/>
  <c r="A2937" i="20" s="1"/>
  <c r="A2938" i="20" s="1"/>
  <c r="A2939" i="20" s="1"/>
  <c r="A2940" i="20" s="1"/>
  <c r="A2941" i="20" s="1"/>
  <c r="A2942" i="20" s="1"/>
  <c r="A2943" i="20" s="1"/>
  <c r="A2944" i="20" s="1"/>
  <c r="A2945" i="20" s="1"/>
  <c r="A2946" i="20" s="1"/>
  <c r="A2947" i="20" s="1"/>
  <c r="A2948" i="20" s="1"/>
  <c r="A2949" i="20" s="1"/>
  <c r="A2950" i="20" s="1"/>
  <c r="A2951" i="20" s="1"/>
  <c r="A2952" i="20" s="1"/>
  <c r="A2953" i="20" s="1"/>
  <c r="A2954" i="20" s="1"/>
  <c r="A2955" i="20" s="1"/>
  <c r="A2956" i="20" s="1"/>
  <c r="A2957" i="20" s="1"/>
  <c r="A2958" i="20" s="1"/>
  <c r="A2959" i="20" s="1"/>
  <c r="E2" i="20"/>
  <c r="F2" i="20"/>
  <c r="D2" i="20"/>
  <c r="C48" i="24" l="1"/>
  <c r="D48" i="24"/>
  <c r="B48" i="24"/>
  <c r="C33" i="24"/>
  <c r="D33" i="24"/>
  <c r="E48" i="24"/>
  <c r="B33" i="24"/>
  <c r="G16" i="28"/>
  <c r="Y64" i="22" s="1"/>
  <c r="H15" i="28"/>
  <c r="F33" i="24"/>
  <c r="A34" i="24"/>
  <c r="E33" i="24"/>
  <c r="D26" i="22"/>
  <c r="D25" i="22"/>
  <c r="C34" i="24" l="1"/>
  <c r="D34" i="24"/>
  <c r="B34" i="24"/>
  <c r="H16" i="28"/>
  <c r="G17" i="28"/>
  <c r="Y65" i="22" s="1"/>
  <c r="F34" i="24"/>
  <c r="A36" i="24"/>
  <c r="A35" i="24"/>
  <c r="E34" i="24"/>
  <c r="E26" i="22"/>
  <c r="F26" i="22"/>
  <c r="F25" i="22"/>
  <c r="E25" i="22"/>
  <c r="D24" i="22"/>
  <c r="C36" i="24" l="1"/>
  <c r="D36" i="24"/>
  <c r="C35" i="24"/>
  <c r="D35" i="24"/>
  <c r="B36" i="24"/>
  <c r="B35" i="24"/>
  <c r="G18" i="28"/>
  <c r="Y66" i="22" s="1"/>
  <c r="H17" i="28"/>
  <c r="F36" i="24"/>
  <c r="F35" i="24"/>
  <c r="E36" i="24"/>
  <c r="E35" i="24"/>
  <c r="E24" i="22"/>
  <c r="F24" i="22"/>
  <c r="G19" i="28" l="1"/>
  <c r="H18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<sst xmlns="http://schemas.openxmlformats.org/spreadsheetml/2006/main" count="2750" uniqueCount="509">
  <si>
    <t>Tipo</t>
  </si>
  <si>
    <t>Categoria</t>
  </si>
  <si>
    <t>Subcategoria</t>
  </si>
  <si>
    <t>Tipo_Ativo</t>
  </si>
  <si>
    <t>Classe</t>
  </si>
  <si>
    <t>Data_Compra</t>
  </si>
  <si>
    <t>Valor</t>
  </si>
  <si>
    <t>Obs</t>
  </si>
  <si>
    <t>Data</t>
  </si>
  <si>
    <t>Ativo</t>
  </si>
  <si>
    <t>Movimento</t>
  </si>
  <si>
    <t>Receita</t>
  </si>
  <si>
    <t>Salário</t>
  </si>
  <si>
    <t>Benefício</t>
  </si>
  <si>
    <t>Auxílio Alimentação</t>
  </si>
  <si>
    <t>Serviço</t>
  </si>
  <si>
    <t>Consultas Particulares</t>
  </si>
  <si>
    <t>Convênios</t>
  </si>
  <si>
    <t>Outros Convênios</t>
  </si>
  <si>
    <t>Extra</t>
  </si>
  <si>
    <t>Restituição IR</t>
  </si>
  <si>
    <t>Outros</t>
  </si>
  <si>
    <t>Despesa</t>
  </si>
  <si>
    <t>Habitação</t>
  </si>
  <si>
    <t>Faxineira</t>
  </si>
  <si>
    <t>Empregada Doméstica</t>
  </si>
  <si>
    <t>Impostos Empregada</t>
  </si>
  <si>
    <t>IPTU</t>
  </si>
  <si>
    <t>Energia Elétrica</t>
  </si>
  <si>
    <t>Água</t>
  </si>
  <si>
    <t>Gás</t>
  </si>
  <si>
    <t>Internet / TV</t>
  </si>
  <si>
    <t>Manutenção Casa</t>
  </si>
  <si>
    <t>Segurança</t>
  </si>
  <si>
    <t>Seguro Residencial</t>
  </si>
  <si>
    <t>Aquisições Casa</t>
  </si>
  <si>
    <t>Cachorros</t>
  </si>
  <si>
    <t>Alimentação</t>
  </si>
  <si>
    <t>Supermercado</t>
  </si>
  <si>
    <t>Sacolão / Feira</t>
  </si>
  <si>
    <t>Padaria</t>
  </si>
  <si>
    <t>Almoço Escolar</t>
  </si>
  <si>
    <t>Delivery</t>
  </si>
  <si>
    <t>Restaurantes</t>
  </si>
  <si>
    <t>Transporte</t>
  </si>
  <si>
    <t>Gasolina</t>
  </si>
  <si>
    <t>IPVA</t>
  </si>
  <si>
    <t>Seguro Veículo</t>
  </si>
  <si>
    <t>Manutenção Veículo</t>
  </si>
  <si>
    <t>Uber / Táxi</t>
  </si>
  <si>
    <t>Saúde</t>
  </si>
  <si>
    <t>Plano de Saúde</t>
  </si>
  <si>
    <t>Farmácia</t>
  </si>
  <si>
    <t>Consultas</t>
  </si>
  <si>
    <t>Educação</t>
  </si>
  <si>
    <t>Mensalidade Escolar</t>
  </si>
  <si>
    <t>Material Escolar</t>
  </si>
  <si>
    <t>Uniformes / Outros</t>
  </si>
  <si>
    <t>Vestuário</t>
  </si>
  <si>
    <t>Roupas</t>
  </si>
  <si>
    <t>Calçados</t>
  </si>
  <si>
    <t>Acessórios</t>
  </si>
  <si>
    <t>Lazer</t>
  </si>
  <si>
    <t>Viagens</t>
  </si>
  <si>
    <t>Saídas</t>
  </si>
  <si>
    <t>Festas</t>
  </si>
  <si>
    <t>Esportes / Música</t>
  </si>
  <si>
    <t>Streaming (Netflix/Spotify/Prime)</t>
  </si>
  <si>
    <t>Trabalho</t>
  </si>
  <si>
    <t>Caridade</t>
  </si>
  <si>
    <t>Doações</t>
  </si>
  <si>
    <t>Dívidas</t>
  </si>
  <si>
    <t>Pagamento Dívidas</t>
  </si>
  <si>
    <t>Presentes</t>
  </si>
  <si>
    <t>Juros Conta</t>
  </si>
  <si>
    <t>Aquisição de Bens</t>
  </si>
  <si>
    <t>Investimento</t>
  </si>
  <si>
    <t>Renda Fixa</t>
  </si>
  <si>
    <t>Tesouro Direto</t>
  </si>
  <si>
    <t>Renda Variável</t>
  </si>
  <si>
    <t>Ações</t>
  </si>
  <si>
    <t>FII</t>
  </si>
  <si>
    <t>Previdência</t>
  </si>
  <si>
    <t>Previdência Privada</t>
  </si>
  <si>
    <t>Alternativos</t>
  </si>
  <si>
    <t>Compra Moeda Estrangeira</t>
  </si>
  <si>
    <t>Consórcio</t>
  </si>
  <si>
    <t>Cartão</t>
  </si>
  <si>
    <t>Liquidez</t>
  </si>
  <si>
    <t>Caixa</t>
  </si>
  <si>
    <t>Investimentos</t>
  </si>
  <si>
    <t>Moeda Estrangeira</t>
  </si>
  <si>
    <t>Conta Corrente</t>
  </si>
  <si>
    <t>Imposto Doméstica</t>
  </si>
  <si>
    <t>NET(Fone, TV, Internet)</t>
  </si>
  <si>
    <t>Jardim_Área Externa</t>
  </si>
  <si>
    <t>Limpeza Piscina</t>
  </si>
  <si>
    <t>Seguro Casa</t>
  </si>
  <si>
    <t>Segurança APIBB</t>
  </si>
  <si>
    <t>Aquisições para Casa</t>
  </si>
  <si>
    <t>Animais PETs</t>
  </si>
  <si>
    <t>Supermercado/Sacolão/Padaria</t>
  </si>
  <si>
    <t>Almoço Escola/Trabalho</t>
  </si>
  <si>
    <t>IPVA Veículos</t>
  </si>
  <si>
    <t>Seguro Veículos</t>
  </si>
  <si>
    <t>Manutenção Veículos</t>
  </si>
  <si>
    <t>Estacionamento</t>
  </si>
  <si>
    <t>Uber</t>
  </si>
  <si>
    <t>Dentista/Médico Extra</t>
  </si>
  <si>
    <t>Marterial Escolar</t>
  </si>
  <si>
    <t>Material Extra</t>
  </si>
  <si>
    <t>Uniforme</t>
  </si>
  <si>
    <t>Streaming</t>
  </si>
  <si>
    <t>Custo Trabalho</t>
  </si>
  <si>
    <t>Dízimo</t>
  </si>
  <si>
    <t>Doação</t>
  </si>
  <si>
    <t>Contribuição Missas</t>
  </si>
  <si>
    <t>Pgto Dívidas</t>
  </si>
  <si>
    <t>Juros</t>
  </si>
  <si>
    <t>Aquisições Bens</t>
  </si>
  <si>
    <t>CDB</t>
  </si>
  <si>
    <t>Prev.Privada</t>
  </si>
  <si>
    <t>Poupança</t>
  </si>
  <si>
    <t>Categoria_Aux</t>
  </si>
  <si>
    <t>Outras_Despesas</t>
  </si>
  <si>
    <t>Renda_Fixa</t>
  </si>
  <si>
    <t>Renda_Variável</t>
  </si>
  <si>
    <t>Invest_Alternativos</t>
  </si>
  <si>
    <t xml:space="preserve">Ano </t>
  </si>
  <si>
    <t>Mês</t>
  </si>
  <si>
    <t>Ano_Mês</t>
  </si>
  <si>
    <t>Dia</t>
  </si>
  <si>
    <t>Semana</t>
  </si>
  <si>
    <t>Trimestre</t>
  </si>
  <si>
    <t>Saldo Acumulado</t>
  </si>
  <si>
    <t>Fatura_MesAno</t>
  </si>
  <si>
    <t>Dia_Corte</t>
  </si>
  <si>
    <t>Dia_Vencimento</t>
  </si>
  <si>
    <t>Despesas</t>
  </si>
  <si>
    <t>Receitas</t>
  </si>
  <si>
    <t>📈 LANÇAMENTO DE INVESTIMENTOS</t>
  </si>
  <si>
    <t>TOTAL</t>
  </si>
  <si>
    <t>📊 DASHBOARD - ORÇAMENTO DOMÉSTICO</t>
  </si>
  <si>
    <t>Controle Financeiro Pessoal</t>
  </si>
  <si>
    <t>📅 ANO:</t>
  </si>
  <si>
    <t>📆 MÊS:</t>
  </si>
  <si>
    <t>(0 = Ano completo | 1-12 = Mês específico)</t>
  </si>
  <si>
    <t>💰 RECEITAS</t>
  </si>
  <si>
    <t>📉 DESPESAS</t>
  </si>
  <si>
    <t>💵 SALDO</t>
  </si>
  <si>
    <t>📈 INVESTIMENTOS</t>
  </si>
  <si>
    <t>📊 % ECONOMIA</t>
  </si>
  <si>
    <t>📋 ORÇADO vs REALIZADO</t>
  </si>
  <si>
    <t>Orçado</t>
  </si>
  <si>
    <t>Realizado</t>
  </si>
  <si>
    <t>Variação</t>
  </si>
  <si>
    <t>% Variação</t>
  </si>
  <si>
    <t>Status</t>
  </si>
  <si>
    <t>RECEITAS</t>
  </si>
  <si>
    <t>DESPESAS</t>
  </si>
  <si>
    <t>% do Total</t>
  </si>
  <si>
    <t>Saldo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</si>
  <si>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</si>
  <si>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</si>
  <si>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</si>
  <si>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</si>
  <si>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</si>
  <si>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</si>
  <si>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</si>
  <si>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</si>
  <si>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</si>
  <si>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</si>
  <si>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</si>
  <si>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</si>
  <si>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💡 INSIGHTS E ALERTAS</t>
  </si>
  <si>
    <t>📊 Taxa de Economia:</t>
  </si>
  <si>
    <t>💰 Maior Despesa:</t>
  </si>
  <si>
    <t>📈 Melhor Mês (Saldo):</t>
  </si>
  <si>
    <t>📉 Pior Mês (Saldo):</t>
  </si>
  <si>
    <t>Aportes</t>
  </si>
  <si>
    <t>Resgates</t>
  </si>
  <si>
    <t>Saldo Líquido</t>
  </si>
  <si>
    <t>ANO:</t>
  </si>
  <si>
    <t>Aporte</t>
  </si>
  <si>
    <t>📌 Dica: Altere o ANO (B4) e o MÊS (E4) para filtrar os dados. Mês=0 mostra o ano completo.</t>
  </si>
  <si>
    <t>Descrição</t>
  </si>
  <si>
    <t>ID_Compra</t>
  </si>
  <si>
    <t>Parcela</t>
  </si>
  <si>
    <t>Valor_Parcela</t>
  </si>
  <si>
    <t>Data_Vencimento</t>
  </si>
  <si>
    <t>⚙️ CONFIGURAÇÃO DOS CARTÕES DE CRÉDITO</t>
  </si>
  <si>
    <t>Nome_Sistema</t>
  </si>
  <si>
    <t>📋 COMO FUNCIONA O CÁLCULO DA FATURA:</t>
  </si>
  <si>
    <t>1. DIA_CORTE: Último dia para compras entrarem na fatura do mês</t>
  </si>
  <si>
    <t>2. DIA_VENCIMENTO: Dia do pagamento da fatura</t>
  </si>
  <si>
    <t xml:space="preserve">  • Compra em 05/01 → Entra na fatura de JAN → Vence 15/01</t>
  </si>
  <si>
    <t xml:space="preserve">  • Compra em 10/01 → Entra na fatura de FEV → Vence 15/02</t>
  </si>
  <si>
    <t>⚠️ IMPORTANTE: Os nomes em 'Cartão' devem ser EXATAMENTE iguais</t>
  </si>
  <si>
    <t>📊 SISTEMA DE ORÇAMENTO DOMÉSTICO - GUIA DE USO</t>
  </si>
  <si>
    <t>📝 COMO LANÇAR SEUS DADOS</t>
  </si>
  <si>
    <t>💳 SISTEMA DE CARTÃO DE CRÉDITO</t>
  </si>
  <si>
    <t>Aba</t>
  </si>
  <si>
    <t>O que lançar</t>
  </si>
  <si>
    <t>Campos obrigatórios</t>
  </si>
  <si>
    <t>Observações</t>
  </si>
  <si>
    <t>LAN_RECEITAS</t>
  </si>
  <si>
    <t>Salários, benefícios, rendas extras</t>
  </si>
  <si>
    <t>LAN_DESPESAS</t>
  </si>
  <si>
    <t>Despesas pagas à vista (Débito/PIX)</t>
  </si>
  <si>
    <t>Use para pagamentos imediatos</t>
  </si>
  <si>
    <t>LAN_CARTOES</t>
  </si>
  <si>
    <t>Compras no cartão de crédito</t>
  </si>
  <si>
    <t>Data_Compra, Categoria, Valor_Total, N_Parcelas, Cartão</t>
  </si>
  <si>
    <t>Parcelas geradas automaticamente</t>
  </si>
  <si>
    <t>LAN_INVESTIMENTOS</t>
  </si>
  <si>
    <t>Aportes e resgates</t>
  </si>
  <si>
    <t>Data, Ativo, Movimento, Valor</t>
  </si>
  <si>
    <t>Tipo_Ativo preenche automaticamente</t>
  </si>
  <si>
    <t>⚙️ CADASTROS E CONFIGURAÇÕES</t>
  </si>
  <si>
    <t>• CAD_Categorias - Cadastro de categorias e subcategorias</t>
  </si>
  <si>
    <t>• CAD_Ativos - Tipos de ativos para investimentos</t>
  </si>
  <si>
    <t>• Aux_Listas - Listas auxiliares para dropdowns (não alterar)</t>
  </si>
  <si>
    <t>📊 VISUALIZAÇÃO E RELATÓRIOS</t>
  </si>
  <si>
    <t>Função</t>
  </si>
  <si>
    <t>Como usar</t>
  </si>
  <si>
    <t>DASHBOARD</t>
  </si>
  <si>
    <t>KPIs, gráficos e comparativos</t>
  </si>
  <si>
    <t>Use filtros ANO e MÊS</t>
  </si>
  <si>
    <t>ORCAMENTO</t>
  </si>
  <si>
    <t>Previsto x Realizado mensal</t>
  </si>
  <si>
    <t>Selecione ANO em R1</t>
  </si>
  <si>
    <t>FLUXO_CAIXA</t>
  </si>
  <si>
    <t>Almoço fora</t>
  </si>
  <si>
    <t>(0 = Todos | 1-12 = Mês específico)</t>
  </si>
  <si>
    <t>TOTAL ANUAL</t>
  </si>
  <si>
    <t>📅 Data</t>
  </si>
  <si>
    <t>📂 Categoria</t>
  </si>
  <si>
    <t>📋 Subcategoria</t>
  </si>
  <si>
    <t>💰 Valor</t>
  </si>
  <si>
    <t>📝 Observação</t>
  </si>
  <si>
    <t>💵 Valor</t>
  </si>
  <si>
    <t>📅 Data Compra</t>
  </si>
  <si>
    <t>📝 Descrição</t>
  </si>
  <si>
    <t>💳 Valor Total</t>
  </si>
  <si>
    <t>🔢 Parcelas</t>
  </si>
  <si>
    <t>💳 Cartão</t>
  </si>
  <si>
    <t>Controle de Aportes e Resgates</t>
  </si>
  <si>
    <t>📊 RESUMO DE INVESTIMENTOS</t>
  </si>
  <si>
    <t>🔍 Filtros:</t>
  </si>
  <si>
    <t>MÊS:</t>
  </si>
  <si>
    <t>(Mês 0 = Ano completo)</t>
  </si>
  <si>
    <t>Tipo de Ativo</t>
  </si>
  <si>
    <t>📈 EVOLUÇÃO MENSAL</t>
  </si>
  <si>
    <t>Acumulado</t>
  </si>
  <si>
    <t>📊 EVOLUÇÃO MENSAL DOS INVESTIMENTOS</t>
  </si>
  <si>
    <t>💡 DICA: Altere ANO (J2) e MÊS (L2) para filtrar os dados.</t>
  </si>
  <si>
    <t>📋 FATURAS VINCENDAS POR CARTÃO</t>
  </si>
  <si>
    <t>Corte: dia 7 | Vencimento: dia 15</t>
  </si>
  <si>
    <t>Vencimento</t>
  </si>
  <si>
    <t>Valor Total</t>
  </si>
  <si>
    <t>Dias p/ Vencer</t>
  </si>
  <si>
    <t>Corte: dia 9 | Vencimento: dia 19</t>
  </si>
  <si>
    <t>Próximo Vencimento</t>
  </si>
  <si>
    <t>💰 TOTAL PRÓXIMAS FATURAS:</t>
  </si>
  <si>
    <t>Mostra as próximas faturas com lançamentos para cada cartão (baseado em parcelas geradas)</t>
  </si>
  <si>
    <t>📅 Data de Referência:</t>
  </si>
  <si>
    <t>Corte: dia 29 | Vencimento: dia 5 do mês seguinte</t>
  </si>
  <si>
    <t>Fatura</t>
  </si>
  <si>
    <t>Qtd Lançamentos</t>
  </si>
  <si>
    <t>Dias</t>
  </si>
  <si>
    <t>💡 LEGENDA DE STATUS:</t>
  </si>
  <si>
    <t>🔴 Urgente = vence em até 7 dias | 🟡 Próxima = vence em até 15 dias | 🟢 OK = mais de 15 dias | ⚠️ Vencida</t>
  </si>
  <si>
    <t>⚠️ NOTA: As parcelas são baseadas nos lançamentos da aba LAN_CARTOES. Se um cartão não aparecer,</t>
  </si>
  <si>
    <t xml:space="preserve">        verifique se as parcelas foram geradas corretamente na aba PARCELAS.</t>
  </si>
  <si>
    <t>Entradas Reais</t>
  </si>
  <si>
    <t>Entradas Previstas</t>
  </si>
  <si>
    <t>Saídas Reais</t>
  </si>
  <si>
    <t>Saídas Previstas</t>
  </si>
  <si>
    <t>Saldo Acum.</t>
  </si>
  <si>
    <t>📋 LEGENDA</t>
  </si>
  <si>
    <t>📈 REGIME CONTÁBIL:</t>
  </si>
  <si>
    <t>• DASHBOARD / ORÇAMENTO → Regime de Competência (data da compra)</t>
  </si>
  <si>
    <t>• FLUXO_CAIXA → Regime de Caixa (data do pagamento efetivo)</t>
  </si>
  <si>
    <t>📊 Status</t>
  </si>
  <si>
    <t>• LAN_RECEITAS e LAN_DESPESAS agora têm a coluna "📊 Status" (Realizado/Previsto)</t>
  </si>
  <si>
    <t>• Para lançar uma PREVISÃO: insira o lançamento normalmente e selecione "Previsto" no Status</t>
  </si>
  <si>
    <t>• Quando o valor for efetivado: mude o Status para "Realizado"</t>
  </si>
  <si>
    <t>• O FLUXO_CAIXA separa automaticamente os valores por Status</t>
  </si>
  <si>
    <t>⚙️ EXEMPLO PRÁTICO:</t>
  </si>
  <si>
    <t>1. Você sabe que receberá R$ 10.000 de salário dia 15/07</t>
  </si>
  <si>
    <t>2. Lance em LAN_RECEITAS: Data=15/07, Categoria=Salário, Valor=10000, Status=Previsto</t>
  </si>
  <si>
    <t>3. Quando receber, mude o Status para "Realizado" (e ajuste o valor se necessário)</t>
  </si>
  <si>
    <t>🔮 SISTEMA DE PREVISÕES - FLUXO DE CAIXA</t>
  </si>
  <si>
    <t>📋 COMO FUNCIONA O SISTEMA DE PREVISÕES:</t>
  </si>
  <si>
    <t>2️⃣ GERAR PREVISÕES → Me peça: 'Gerar previsões de Junho/2026'</t>
  </si>
  <si>
    <t>3️⃣ LANÇAMENTOS → Previsões criadas em LAN_RECEITAS/DESPESAS com Status='Previsto'</t>
  </si>
  <si>
    <t>4️⃣ REALIZAÇÃO → Mude Status para 'Realizado' e ajuste o valor se necessário</t>
  </si>
  <si>
    <t>5️⃣ FLUXO_CAIXA → Mostra separadamente: Entradas/Saídas Reais vs Previstas</t>
  </si>
  <si>
    <t>⚠️ IMPORTANTE:</t>
  </si>
  <si>
    <t>• Cada item usa o 'Dia Venc.' configurado no orçamento</t>
  </si>
  <si>
    <t>• Consultas Particulares: gera 4 lançamentos (dias 7, 14, 21, 28)</t>
  </si>
  <si>
    <t>• Se já existir previsão para o mês, será substituída</t>
  </si>
  <si>
    <t>📊 SISTEMA DE PREVISÕES</t>
  </si>
  <si>
    <t>A aba PREVISOES contém todas as previsões de receitas e despesas futuras.</t>
  </si>
  <si>
    <t>Cada mês tem uma linha separada para fácil controle.</t>
  </si>
  <si>
    <t>Como usar:</t>
  </si>
  <si>
    <t>2. Cada linha = 1 mês de previsão</t>
  </si>
  <si>
    <t>3. Quando realizar um lançamento, marque a previsão como 'Cancelada'</t>
  </si>
  <si>
    <t>4. Previsões canceladas aparecem em cinza com texto tachado</t>
  </si>
  <si>
    <t>5. O FLUXO_CAIXA usa automaticamente as previsões ativas</t>
  </si>
  <si>
    <t>💰 CONTROLE DE PREVISÕES FINANCEIRAS</t>
  </si>
  <si>
    <t>Gestão de Receitas e Despesas Previstas | Fluxo de Caixa Projetado</t>
  </si>
  <si>
    <t>📅 DATA</t>
  </si>
  <si>
    <t>📂 TIPO</t>
  </si>
  <si>
    <t>📁 CATEGORIA</t>
  </si>
  <si>
    <t>📋 SUBCATEGORIA</t>
  </si>
  <si>
    <t>💰 VALOR</t>
  </si>
  <si>
    <t>📝 DESCRIÇÃO</t>
  </si>
  <si>
    <t>✅ STATUS</t>
  </si>
  <si>
    <t>ago/2025</t>
  </si>
  <si>
    <t>set/2025</t>
  </si>
  <si>
    <t>out/2025</t>
  </si>
  <si>
    <t>dez/2025</t>
  </si>
  <si>
    <t>fev/2026</t>
  </si>
  <si>
    <t>abr/2026</t>
  </si>
  <si>
    <t>mai/2025</t>
  </si>
  <si>
    <t>Saldo</t>
  </si>
  <si>
    <t>📊 FLUXO DE CAIXA - PRÓXIMOS 30 DIAS</t>
  </si>
  <si>
    <t>📆 Dia</t>
  </si>
  <si>
    <t>💰 Entradas</t>
  </si>
  <si>
    <t>📉 Saídas</t>
  </si>
  <si>
    <t>💵 Saldo Dia</t>
  </si>
  <si>
    <t>📊 Saldo Acum.</t>
  </si>
  <si>
    <t>TOTAL João e Ana</t>
  </si>
  <si>
    <t>CC ANA</t>
  </si>
  <si>
    <t>nov/2025</t>
  </si>
  <si>
    <t>jan/2026</t>
  </si>
  <si>
    <t>mar/2026</t>
  </si>
  <si>
    <t>📊 RESUMO DOS CARTÕES</t>
  </si>
  <si>
    <t>📥 LANÇAMENTOS DE RECEITAS</t>
  </si>
  <si>
    <t>Controle de Entradas Financeiras - Salários, Benefícios, Serviços e Extras</t>
  </si>
  <si>
    <t>📤 LANÇAMENTOS DE DESPESAS</t>
  </si>
  <si>
    <t>Controle de Saídas Financeiras - Pagamentos à Vista (Débito/PIX)</t>
  </si>
  <si>
    <t>💳 LANÇAMENTOS DE CARTÕES DE CRÉDITO</t>
  </si>
  <si>
    <t>Compras Parceladas e à Vista no Crédito - Parcelas Geradas Automaticamente</t>
  </si>
  <si>
    <t>Resultado Operacional</t>
  </si>
  <si>
    <t>Resultado c/ Investimentos</t>
  </si>
  <si>
    <t>💰 Prev.Mensal</t>
  </si>
  <si>
    <t>📊 Anual</t>
  </si>
  <si>
    <t>📈 Média</t>
  </si>
  <si>
    <t>📋 Categoria</t>
  </si>
  <si>
    <t>Data, Categoria, Subcategoria, Valor, Status</t>
  </si>
  <si>
    <t>Observação opcional</t>
  </si>
  <si>
    <t>Data, Categoria, Subcategoria, Valor, Observação, Status</t>
  </si>
  <si>
    <t>📊 Status_Parcelas</t>
  </si>
  <si>
    <t>⚠️ PARCELAS PENDENTES:</t>
  </si>
  <si>
    <t>✅ PASSO 1: Lance a compra na aba LAN_CARTOES (colunas A-H)</t>
  </si>
  <si>
    <t>✅ PASSO 2: Verifique a coluna I (Status_Parcelas)</t>
  </si>
  <si>
    <t xml:space="preserve">   → ✅ Gerada = Parcelas já existem na aba PARCELAS</t>
  </si>
  <si>
    <t xml:space="preserve">   → ⚠️ Pendente = Peça para gerar parcelas</t>
  </si>
  <si>
    <t>✅ PASSO 3: Se houver pendentes, peça: 'Gerar parcelas'</t>
  </si>
  <si>
    <t>✅ PASSO 4: FLUXO_CAIXA mostra saídas nas datas de vencimento</t>
  </si>
  <si>
    <t>💡 DICA: O contador no topo da aba mostra quantas estão pendentes!</t>
  </si>
  <si>
    <t>📊 FLUXO DE CAIXA:          REALIZADO + PREVISTO</t>
  </si>
  <si>
    <t>🎨 LEGENDA</t>
  </si>
  <si>
    <t>#</t>
  </si>
  <si>
    <t>TOTAL 30 DIAS</t>
  </si>
  <si>
    <t>📅 Amarelo = Hoje</t>
  </si>
  <si>
    <t>🔶 Laranja = Último dia do mês</t>
  </si>
  <si>
    <t>🔵 Azul = Mês atual</t>
  </si>
  <si>
    <t>🟢 Verde = Próximo mês</t>
  </si>
  <si>
    <t>💡 COMO USAR:</t>
  </si>
  <si>
    <t>• O fluxo mostra automaticamente os próximos 30 dias a partir de HOJE</t>
  </si>
  <si>
    <t>• Inclui: Receitas, Despesas, Parcelas de Cartão e Previsões Ativas</t>
  </si>
  <si>
    <t>Fluxo de caixa MENSAL + PRÓXIMOS 30 DIAS</t>
  </si>
  <si>
    <t>💰 SALDO EM 01/01:</t>
  </si>
  <si>
    <t>(Saldo bancário em 1º de janeiro do ano selecionado)</t>
  </si>
  <si>
    <t>• B4 deve conter o saldo bancário REAL em 1º de janeiro do ano selecionado</t>
  </si>
  <si>
    <t>B4 = Saldo em 01/01 | Saldo atual calculado automaticamente</t>
  </si>
  <si>
    <t>💰 SALDO INICIAL: R$</t>
  </si>
  <si>
    <t>• Saldo Inicial = Saldo fim do mês anterior + movimentações do mês atual até ontem</t>
  </si>
  <si>
    <t>• Investimentos NÃO são incluídos nas saídas (são transferências de patrimônio)</t>
  </si>
  <si>
    <t>Última atualização: 18/05/2026, 11:38:54</t>
  </si>
  <si>
    <t>📋 DADOS AUXILIARES (não ocultar - usados pelos gráficos)</t>
  </si>
  <si>
    <t>• FATURAS_CARTAO - Configuração dos cartões de crédito (corte/vencimento) e lista de cartões</t>
  </si>
  <si>
    <t>1. As previsões são lançadas diretamente na aba PREVISOES</t>
  </si>
  <si>
    <t>1️⃣ PREVISOES → Lançamentos de receitas e despesas futuras</t>
  </si>
  <si>
    <t>• Previsões são lançadas diretamente na aba PREVISOES</t>
  </si>
  <si>
    <t>Maria – Bolsa Doutorado</t>
  </si>
  <si>
    <t>Gastos Trabalho Maria</t>
  </si>
  <si>
    <t>Crédito Banco A - Carlos</t>
  </si>
  <si>
    <t>Crédito Banco A - Maria</t>
  </si>
  <si>
    <t>Crédito Banco B - Maria</t>
  </si>
  <si>
    <t>BancoA_Maria</t>
  </si>
  <si>
    <t>BancoB_Maria</t>
  </si>
  <si>
    <t>BancoA_Carlos</t>
  </si>
  <si>
    <t>💳 CRÉDITO BANCO A - CARLOS</t>
  </si>
  <si>
    <t>💳 CRÉDITO BANCO A - MARIA</t>
  </si>
  <si>
    <t>💳 CRÉDITO BANCO B - MARIA</t>
  </si>
  <si>
    <t>Exemplo - Cartão Banco A Maria (Corte dia 7, Vencimento dia 15):</t>
  </si>
  <si>
    <t xml:space="preserve">   aos da tabela de configuração para o sistema funcionar.</t>
  </si>
  <si>
    <t>Carlos – Auxílio</t>
  </si>
  <si>
    <t>Maria – Hospital Central</t>
  </si>
  <si>
    <t>Maria – Hospital 13º/Férias</t>
  </si>
  <si>
    <t>Maria – Plano Saúde</t>
  </si>
  <si>
    <t>Maria – Plano Saúde Extras</t>
  </si>
  <si>
    <t>Controle Financeiro Pessoal - Versão 1.0 | Template para GitHub</t>
  </si>
  <si>
    <t>📝 SOBRE ESTE TEMPLATE</t>
  </si>
  <si>
    <t>Este é um template de controle financeiro pessoal com dados fictícios de exemplo.</t>
  </si>
  <si>
    <t>Substitua os dados de exemplo pelos seus dados reais para começar a usar.</t>
  </si>
  <si>
    <t>Desenvolvido para demonstrar as funcionalidades do sistema de orçamento doméstico.</t>
  </si>
  <si>
    <t xml:space="preserve">  Salário Marido</t>
  </si>
  <si>
    <t xml:space="preserve">  Salário Esposa</t>
  </si>
  <si>
    <t xml:space="preserve">  </t>
  </si>
  <si>
    <t>Prestação Serviço Extra</t>
  </si>
  <si>
    <t>Gastos Profissionais</t>
  </si>
  <si>
    <t>ORÇAMENTO 2025</t>
  </si>
  <si>
    <t>Salário Marido</t>
  </si>
  <si>
    <t>Salário mensal</t>
  </si>
  <si>
    <t>Salário Esposa</t>
  </si>
  <si>
    <t>Vale alimentação</t>
  </si>
  <si>
    <t>Serviço Freelance</t>
  </si>
  <si>
    <t>Trabalho extra</t>
  </si>
  <si>
    <t>Receita extra</t>
  </si>
  <si>
    <t>Aluguel/Financiamento</t>
  </si>
  <si>
    <t>Financiamento casa</t>
  </si>
  <si>
    <t>Habitacao</t>
  </si>
  <si>
    <t>Conta de luz</t>
  </si>
  <si>
    <t>Conta de água</t>
  </si>
  <si>
    <t>Internet e TV</t>
  </si>
  <si>
    <t>Condomínio</t>
  </si>
  <si>
    <t>Taxa condomínio</t>
  </si>
  <si>
    <t>Compras do mês</t>
  </si>
  <si>
    <t>Alimentacao</t>
  </si>
  <si>
    <t>Restaurante</t>
  </si>
  <si>
    <t>Combustível</t>
  </si>
  <si>
    <t>Transporte app</t>
  </si>
  <si>
    <t>Mensalidade plano</t>
  </si>
  <si>
    <t>Saude</t>
  </si>
  <si>
    <t>Medicamentos</t>
  </si>
  <si>
    <t>Escola</t>
  </si>
  <si>
    <t>Mensalidade escola</t>
  </si>
  <si>
    <t>Educacao</t>
  </si>
  <si>
    <t>Roupas família</t>
  </si>
  <si>
    <t>Vestuario</t>
  </si>
  <si>
    <t>Assinaturas</t>
  </si>
  <si>
    <t>Lazer família</t>
  </si>
  <si>
    <t>Dízimo/doação</t>
  </si>
  <si>
    <t>Gastos Trabalho</t>
  </si>
  <si>
    <t>Material trabalho</t>
  </si>
  <si>
    <t>Diversos</t>
  </si>
  <si>
    <t>Gastos diversos</t>
  </si>
  <si>
    <t>Aporte mensal RF</t>
  </si>
  <si>
    <t>ETF</t>
  </si>
  <si>
    <t>Aporte mensal RV</t>
  </si>
  <si>
    <t>Aporte mensal Prev</t>
  </si>
  <si>
    <t>Jantar aniversário família</t>
  </si>
  <si>
    <t>Roupas de verão</t>
  </si>
  <si>
    <t>Viagem</t>
  </si>
  <si>
    <t>Passagens férias julho</t>
  </si>
  <si>
    <t>Móveis / Decoração</t>
  </si>
  <si>
    <t>Sofá novo sala</t>
  </si>
  <si>
    <t>Cursos</t>
  </si>
  <si>
    <t>Curso online Excel</t>
  </si>
  <si>
    <t>Jantar Dia dos Namorados</t>
  </si>
  <si>
    <t>Consultas / Exames</t>
  </si>
  <si>
    <t>Óculos novos</t>
  </si>
  <si>
    <t>Revisão carro</t>
  </si>
  <si>
    <t>Compra grande mensal</t>
  </si>
  <si>
    <t>Eletrodomésticos</t>
  </si>
  <si>
    <t>Geladeira nova</t>
  </si>
  <si>
    <t>Tênis corrida</t>
  </si>
  <si>
    <t>Assinatura anual Disney+</t>
  </si>
  <si>
    <t>Material escolar filhos</t>
  </si>
  <si>
    <t>Medicamentos trimestre</t>
  </si>
  <si>
    <t>Pintura quarto</t>
  </si>
  <si>
    <t>Hotel férias julho</t>
  </si>
  <si>
    <t>Churrasco família</t>
  </si>
  <si>
    <t>Abastecimento viagem</t>
  </si>
  <si>
    <t>Presente aniversário avó</t>
  </si>
  <si>
    <t>Parque aquático família</t>
  </si>
  <si>
    <t>Almoço férias</t>
  </si>
  <si>
    <t>Casacos inverno</t>
  </si>
  <si>
    <t>Material 2º semestre</t>
  </si>
  <si>
    <t>Check-up anual</t>
  </si>
  <si>
    <t>Conserto ar-condicionado</t>
  </si>
  <si>
    <t>Cinema + jantar</t>
  </si>
  <si>
    <t>Troca pneus</t>
  </si>
  <si>
    <t>Compras festa</t>
  </si>
  <si>
    <t>Roupa trabalho</t>
  </si>
  <si>
    <t>Dia das Crianças</t>
  </si>
  <si>
    <t>Mesa escritório</t>
  </si>
  <si>
    <t>Passagens Natal</t>
  </si>
  <si>
    <t>Jantar comemorativo</t>
  </si>
  <si>
    <t>Black Friday - eletrônicos</t>
  </si>
  <si>
    <t>Presentes Natal família</t>
  </si>
  <si>
    <t>Ceia Natal</t>
  </si>
  <si>
    <t>Festa Réveillon</t>
  </si>
  <si>
    <t>jan/2025</t>
  </si>
  <si>
    <t>fev/2025</t>
  </si>
  <si>
    <t>mar/2025</t>
  </si>
  <si>
    <t>abr/2025</t>
  </si>
  <si>
    <t>jun/2025</t>
  </si>
  <si>
    <t>jul/2025</t>
  </si>
  <si>
    <t>📅 Data Ref:</t>
  </si>
  <si>
    <t>Datas Carlos</t>
  </si>
  <si>
    <t>Datas Maria A</t>
  </si>
  <si>
    <t>Datas Maria B</t>
  </si>
  <si>
    <t>Outros / Subscrição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</si>
</sst>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3" formatCode="_-* #,##0.00_-;\-* #,##0.00_-;_-* &quot;-&quot;??_-;_-@_-"/>
    <numFmt numFmtId="164" formatCode="mmm"/>
    <numFmt numFmtId="165" formatCode="0.0%"/>
    <numFmt numFmtId="166" formatCode="\R&quot;R$&quot;\ #,##0.00"/>
    <numFmt numFmtId="167" formatCode="\R&quot;R$&quot;\ #.##000"/>
    <numFmt numFmtId="168" formatCode="[$R$-416]\ #,##0.00"/>
    <numFmt numFmtId="169" formatCode="&quot;R$&quot;\ #,##0.00"/>
    <numFmt numFmtId="170" formatCode="dd/mm"/>
    <numFmt numFmtId="171" formatCode="#.##000"/>
  </numFmts>
  <fonts count="7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Segoe U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Arial Unicode MS"/>
    </font>
    <font>
      <b/>
      <sz val="10"/>
      <color rgb="FFFFFFFF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2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sz val="16"/>
      <color rgb="FF27AE60"/>
      <name val="Calibri"/>
      <family val="2"/>
      <scheme val="minor"/>
    </font>
    <font>
      <b/>
      <sz val="16"/>
      <color rgb="FFE74C3C"/>
      <name val="Calibri"/>
      <family val="2"/>
      <scheme val="minor"/>
    </font>
    <font>
      <b/>
      <sz val="16"/>
      <color rgb="FF3498DB"/>
      <name val="Calibri"/>
      <family val="2"/>
      <scheme val="minor"/>
    </font>
    <font>
      <b/>
      <sz val="16"/>
      <color rgb="FF9B59B6"/>
      <name val="Calibri"/>
      <family val="2"/>
      <scheme val="minor"/>
    </font>
    <font>
      <b/>
      <sz val="16"/>
      <color rgb="FFF39C12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1F4E79"/>
      <name val="Calibri"/>
      <family val="2"/>
      <scheme val="minor"/>
    </font>
    <font>
      <b/>
      <sz val="11"/>
      <color rgb="FFD354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5B5B5B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8B0000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1"/>
      <color rgb="FF5B9BD5"/>
      <name val="Calibri"/>
      <family val="2"/>
      <scheme val="minor"/>
    </font>
    <font>
      <i/>
      <sz val="10"/>
      <color rgb="FF66666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rgb="FF5D6D7E"/>
      <name val="Calibri"/>
      <family val="2"/>
      <scheme val="minor"/>
    </font>
    <font>
      <b/>
      <sz val="16"/>
      <color rgb="FF7B241C"/>
      <name val="Calibri"/>
      <family val="2"/>
      <scheme val="minor"/>
    </font>
    <font>
      <b/>
      <sz val="16"/>
      <color rgb="FF145A32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1F4E79"/>
      <name val="Arial Unicode MS"/>
    </font>
    <font>
      <b/>
      <sz val="10"/>
      <color rgb="FF1F4E79"/>
      <name val="Calibri"/>
      <family val="2"/>
      <scheme val="minor"/>
    </font>
    <font>
      <b/>
      <sz val="10"/>
      <color rgb="FF9C0006"/>
      <name val="Arial Unicode MS"/>
    </font>
    <font>
      <b/>
      <sz val="11"/>
      <color rgb="FF9C0006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9C5700"/>
      <name val="Arial Unicode MS"/>
    </font>
    <font>
      <b/>
      <sz val="11"/>
      <color rgb="FF9C5700"/>
      <name val="Calibri"/>
      <family val="2"/>
      <scheme val="minor"/>
    </font>
    <font>
      <b/>
      <i/>
      <sz val="10"/>
      <color rgb="FF974706"/>
      <name val="Arial Unicode MS"/>
    </font>
    <font>
      <b/>
      <i/>
      <sz val="11"/>
      <color rgb="FF974706"/>
      <name val="Calibri"/>
      <family val="2"/>
      <scheme val="minor"/>
    </font>
    <font>
      <sz val="10"/>
      <color rgb="FF666666"/>
      <name val="Arial Unicode MS"/>
    </font>
    <font>
      <sz val="11"/>
      <color rgb="FF404040"/>
      <name val="Calibri"/>
      <family val="2"/>
      <scheme val="minor"/>
    </font>
    <font>
      <sz val="11"/>
      <color rgb="FF404040"/>
      <name val="Arial Unicode MS"/>
    </font>
    <font>
      <b/>
      <sz val="14"/>
      <color rgb="FF9C5700"/>
      <name val="Calibri"/>
      <family val="2"/>
      <scheme val="minor"/>
    </font>
    <font>
      <b/>
      <sz val="12"/>
      <color rgb="FF1565C0"/>
      <name val="Calibri"/>
      <family val="2"/>
      <scheme val="minor"/>
    </font>
    <font>
      <b/>
      <sz val="12"/>
      <color rgb="FFF57C00"/>
      <name val="Calibri"/>
      <family val="2"/>
      <scheme val="minor"/>
    </font>
    <font>
      <b/>
      <i/>
      <sz val="11"/>
      <color rgb="FF757575"/>
      <name val="Calibri"/>
      <family val="2"/>
      <scheme val="minor"/>
    </font>
    <font>
      <i/>
      <sz val="9"/>
      <color rgb="FF9E9E9E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6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8F9F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196F3"/>
        <bgColor indexed="64"/>
      </patternFill>
    </fill>
    <fill>
      <patternFill patternType="solid">
        <fgColor rgb="FF2E86AB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1D6F4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6B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4E8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2B579A"/>
        <bgColor indexed="64"/>
      </patternFill>
    </fill>
    <fill>
      <patternFill patternType="solid">
        <fgColor rgb="FFBBDEFB"/>
        <bgColor indexed="64"/>
      </patternFill>
    </fill>
  </fills>
  <borders count="97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E0E0E0"/>
      </bottom>
      <diagonal/>
    </border>
    <border>
      <left style="thin">
        <color rgb="FFD9D9D9"/>
      </left>
      <right style="thin">
        <color rgb="FFD9D9D9"/>
      </right>
      <top/>
      <bottom style="thin">
        <color rgb="FFE0E0E0"/>
      </bottom>
      <diagonal/>
    </border>
    <border>
      <left style="thin">
        <color rgb="FFD9D9D9"/>
      </left>
      <right/>
      <top/>
      <bottom style="thin">
        <color rgb="FFE0E0E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E0E0E0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auto="1"/>
      </right>
      <top style="thin">
        <color rgb="FFD9D9D9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2E75B6"/>
      </left>
      <right/>
      <top/>
      <bottom/>
      <diagonal/>
    </border>
    <border>
      <left style="thin">
        <color rgb="FF2E75B6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2E75B6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2E75B6"/>
      </left>
      <right style="thin">
        <color rgb="FF2E75B6"/>
      </right>
      <top/>
      <bottom/>
      <diagonal/>
    </border>
    <border>
      <left style="thin">
        <color rgb="FF1F4E79"/>
      </left>
      <right/>
      <top style="thin">
        <color theme="5" tint="0.39997558519241921"/>
      </top>
      <bottom/>
      <diagonal/>
    </border>
    <border>
      <left style="thin">
        <color rgb="FF1F4E79"/>
      </left>
      <right/>
      <top style="thin">
        <color rgb="FFB4C6E7"/>
      </top>
      <bottom/>
      <diagonal/>
    </border>
    <border>
      <left style="thin">
        <color rgb="FF1D6F42"/>
      </left>
      <right/>
      <top style="thick">
        <color rgb="FFFFD700"/>
      </top>
      <bottom/>
      <diagonal/>
    </border>
    <border>
      <left style="thin">
        <color rgb="FFB6D7A8"/>
      </left>
      <right/>
      <top style="thick">
        <color rgb="FFFFD700"/>
      </top>
      <bottom/>
      <diagonal/>
    </border>
    <border>
      <left style="thin">
        <color rgb="FF1D6F42"/>
      </left>
      <right/>
      <top style="thin">
        <color rgb="FFB6D7A8"/>
      </top>
      <bottom/>
      <diagonal/>
    </border>
    <border>
      <left style="thin">
        <color rgb="FFB6D7A8"/>
      </left>
      <right/>
      <top style="thin">
        <color rgb="FFB6D7A8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1F4E79"/>
      </left>
      <right/>
      <top style="thick">
        <color rgb="FFFFD700"/>
      </top>
      <bottom style="thin">
        <color rgb="FFE0E0E0"/>
      </bottom>
      <diagonal/>
    </border>
    <border>
      <left style="thin">
        <color rgb="FFB4C6E7"/>
      </left>
      <right/>
      <top style="thick">
        <color rgb="FFFFD700"/>
      </top>
      <bottom style="thin">
        <color rgb="FFE0E0E0"/>
      </bottom>
      <diagonal/>
    </border>
    <border>
      <left style="thin">
        <color rgb="FF1F4E79"/>
      </left>
      <right/>
      <top style="thin">
        <color theme="5" tint="0.39997558519241921"/>
      </top>
      <bottom style="thin">
        <color rgb="FFE0E0E0"/>
      </bottom>
      <diagonal/>
    </border>
    <border>
      <left style="thin">
        <color rgb="FF1F4E79"/>
      </left>
      <right/>
      <top style="thin">
        <color rgb="FFE0E0E0"/>
      </top>
      <bottom style="thin">
        <color rgb="FFE0E0E0"/>
      </bottom>
      <diagonal/>
    </border>
    <border>
      <left style="thin">
        <color rgb="FFB4C6E7"/>
      </left>
      <right/>
      <top style="thin">
        <color rgb="FFE0E0E0"/>
      </top>
      <bottom style="thin">
        <color rgb="FFE0E0E0"/>
      </bottom>
      <diagonal/>
    </border>
    <border>
      <left style="thin">
        <color rgb="FF1F4E79"/>
      </left>
      <right/>
      <top style="thin">
        <color rgb="FFE0E0E0"/>
      </top>
      <bottom/>
      <diagonal/>
    </border>
    <border>
      <left style="thin">
        <color rgb="FFB4C6E7"/>
      </left>
      <right/>
      <top style="thin">
        <color rgb="FFE0E0E0"/>
      </top>
      <bottom/>
      <diagonal/>
    </border>
    <border>
      <left style="thin">
        <color rgb="FF1D6F42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1F4E79"/>
      </left>
      <right/>
      <top/>
      <bottom/>
      <diagonal/>
    </border>
    <border>
      <left/>
      <right/>
      <top/>
      <bottom style="medium">
        <color rgb="FF7B241C"/>
      </bottom>
      <diagonal/>
    </border>
    <border>
      <left/>
      <right/>
      <top/>
      <bottom style="medium">
        <color rgb="FF145A32"/>
      </bottom>
      <diagonal/>
    </border>
    <border>
      <left style="thin">
        <color rgb="FF1F4E7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1F4E7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rgb="FF1F4E79"/>
      </left>
      <right style="thin">
        <color rgb="FFD9D9D9"/>
      </right>
      <top/>
      <bottom style="medium">
        <color rgb="FF2C3E50"/>
      </bottom>
      <diagonal/>
    </border>
    <border>
      <left style="thin">
        <color rgb="FFD9D9D9"/>
      </left>
      <right style="thin">
        <color rgb="FFD9D9D9"/>
      </right>
      <top/>
      <bottom style="medium">
        <color rgb="FF2C3E50"/>
      </bottom>
      <diagonal/>
    </border>
    <border>
      <left style="thin">
        <color rgb="FFD9D9D9"/>
      </left>
      <right style="thin">
        <color auto="1"/>
      </right>
      <top/>
      <bottom style="medium">
        <color rgb="FF2C3E50"/>
      </bottom>
      <diagonal/>
    </border>
    <border>
      <left style="thin">
        <color rgb="FF1F4E7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auto="1"/>
      </right>
      <top style="thin">
        <color rgb="FFD9D9D9"/>
      </top>
      <bottom/>
      <diagonal/>
    </border>
    <border>
      <left style="thin">
        <color rgb="FF1F4E7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08080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808080"/>
      </bottom>
      <diagonal/>
    </border>
    <border>
      <left style="thin">
        <color rgb="FF1F4E79"/>
      </left>
      <right style="thin">
        <color rgb="FFD9D9D9"/>
      </right>
      <top style="thin">
        <color rgb="FFD9D9D9"/>
      </top>
      <bottom style="medium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808080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medium">
        <color rgb="FF808080"/>
      </bottom>
      <diagonal/>
    </border>
    <border>
      <left style="thin">
        <color rgb="FF1F4E79"/>
      </left>
      <right style="thin">
        <color rgb="FFD9D9D9"/>
      </right>
      <top style="thin">
        <color rgb="FFE5E8E8"/>
      </top>
      <bottom style="medium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medium">
        <color rgb="FFFFFFFF"/>
      </bottom>
      <diagonal/>
    </border>
    <border>
      <left style="thin">
        <color rgb="FFD9D9D9"/>
      </left>
      <right style="thin">
        <color auto="1"/>
      </right>
      <top style="thin">
        <color rgb="FF1F4E79"/>
      </top>
      <bottom style="medium">
        <color rgb="FFFFFFFF"/>
      </bottom>
      <diagonal/>
    </border>
    <border>
      <left/>
      <right/>
      <top style="thin">
        <color auto="1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FFFF"/>
      </bottom>
      <diagonal/>
    </border>
    <border>
      <left style="thin">
        <color rgb="FF1F4E79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thin">
        <color auto="1"/>
      </right>
      <top/>
      <bottom style="medium">
        <color rgb="FFFFFFFF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auto="1"/>
      </top>
      <bottom style="thin">
        <color rgb="FFE5E7EB"/>
      </bottom>
      <diagonal/>
    </border>
    <border>
      <left style="thin">
        <color auto="1"/>
      </left>
      <right style="thin">
        <color rgb="FFE5E7EB"/>
      </right>
      <top style="thin">
        <color auto="1"/>
      </top>
      <bottom style="thin">
        <color rgb="FFE5E7EB"/>
      </bottom>
      <diagonal/>
    </border>
    <border>
      <left style="thin">
        <color auto="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rgb="FFE5E7EB"/>
      </right>
      <top style="thin">
        <color rgb="FFE5E7EB"/>
      </top>
      <bottom style="thin">
        <color auto="1"/>
      </bottom>
      <diagonal/>
    </border>
    <border>
      <left style="thin">
        <color rgb="FFE5E7EB"/>
      </left>
      <right style="thin">
        <color auto="1"/>
      </right>
      <top style="thin">
        <color auto="1"/>
      </top>
      <bottom style="thin">
        <color rgb="FFE5E7EB"/>
      </bottom>
      <diagonal/>
    </border>
    <border>
      <left style="thin">
        <color rgb="FFE5E7EB"/>
      </left>
      <right style="thin">
        <color auto="1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auto="1"/>
      </right>
      <top style="thin">
        <color rgb="FFE5E7EB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43" fontId="47" fillId="0" borderId="0" applyFont="0" applyFill="0" applyBorder="0" applyAlignment="0" applyProtection="0"/>
  </cellStyleXfs>
  <cellXfs count="40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14" fontId="0" fillId="0" borderId="0" xfId="0" applyNumberFormat="1"/>
    <xf numFmtId="14" fontId="5" fillId="0" borderId="0" xfId="0" applyNumberFormat="1" applyFont="1" applyAlignment="1">
      <alignment vertical="center"/>
    </xf>
    <xf numFmtId="4" fontId="0" fillId="0" borderId="0" xfId="0" applyNumberFormat="1"/>
    <xf numFmtId="0" fontId="8" fillId="0" borderId="0" xfId="0" applyFont="1"/>
    <xf numFmtId="0" fontId="9" fillId="0" borderId="0" xfId="0" applyFont="1"/>
    <xf numFmtId="0" fontId="4" fillId="0" borderId="0" xfId="0" applyFont="1"/>
    <xf numFmtId="0" fontId="0" fillId="8" borderId="0" xfId="0" applyFill="1"/>
    <xf numFmtId="0" fontId="16" fillId="0" borderId="0" xfId="0" applyFont="1"/>
    <xf numFmtId="0" fontId="9" fillId="13" borderId="8" xfId="0" applyFont="1" applyFill="1" applyBorder="1" applyAlignment="1">
      <alignment horizontal="center"/>
    </xf>
    <xf numFmtId="0" fontId="17" fillId="0" borderId="0" xfId="0" applyFont="1"/>
    <xf numFmtId="165" fontId="0" fillId="0" borderId="0" xfId="0" applyNumberFormat="1"/>
    <xf numFmtId="0" fontId="0" fillId="27" borderId="8" xfId="0" applyFill="1" applyBorder="1"/>
    <xf numFmtId="4" fontId="0" fillId="27" borderId="8" xfId="0" applyNumberFormat="1" applyFill="1" applyBorder="1"/>
    <xf numFmtId="165" fontId="0" fillId="27" borderId="8" xfId="0" applyNumberFormat="1" applyFill="1" applyBorder="1"/>
    <xf numFmtId="0" fontId="0" fillId="27" borderId="8" xfId="0" applyFill="1" applyBorder="1" applyAlignment="1">
      <alignment horizontal="center"/>
    </xf>
    <xf numFmtId="0" fontId="0" fillId="0" borderId="8" xfId="0" applyBorder="1"/>
    <xf numFmtId="4" fontId="0" fillId="0" borderId="8" xfId="0" applyNumberFormat="1" applyBorder="1"/>
    <xf numFmtId="165" fontId="0" fillId="0" borderId="8" xfId="0" applyNumberFormat="1" applyBorder="1"/>
    <xf numFmtId="0" fontId="0" fillId="0" borderId="8" xfId="0" applyBorder="1" applyAlignment="1">
      <alignment horizontal="center"/>
    </xf>
    <xf numFmtId="0" fontId="4" fillId="26" borderId="8" xfId="0" applyFont="1" applyFill="1" applyBorder="1"/>
    <xf numFmtId="4" fontId="4" fillId="26" borderId="8" xfId="0" applyNumberFormat="1" applyFont="1" applyFill="1" applyBorder="1"/>
    <xf numFmtId="165" fontId="4" fillId="26" borderId="8" xfId="0" applyNumberFormat="1" applyFont="1" applyFill="1" applyBorder="1"/>
    <xf numFmtId="0" fontId="4" fillId="26" borderId="8" xfId="0" applyFont="1" applyFill="1" applyBorder="1" applyAlignment="1">
      <alignment horizontal="center"/>
    </xf>
    <xf numFmtId="0" fontId="10" fillId="28" borderId="0" xfId="0" applyFont="1" applyFill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4" fillId="29" borderId="8" xfId="0" applyFont="1" applyFill="1" applyBorder="1"/>
    <xf numFmtId="4" fontId="4" fillId="29" borderId="8" xfId="0" applyNumberFormat="1" applyFont="1" applyFill="1" applyBorder="1"/>
    <xf numFmtId="165" fontId="4" fillId="29" borderId="8" xfId="0" applyNumberFormat="1" applyFont="1" applyFill="1" applyBorder="1"/>
    <xf numFmtId="0" fontId="4" fillId="29" borderId="8" xfId="0" applyFont="1" applyFill="1" applyBorder="1" applyAlignment="1">
      <alignment horizontal="center"/>
    </xf>
    <xf numFmtId="0" fontId="4" fillId="31" borderId="8" xfId="0" applyFont="1" applyFill="1" applyBorder="1"/>
    <xf numFmtId="4" fontId="0" fillId="31" borderId="8" xfId="0" applyNumberFormat="1" applyFill="1" applyBorder="1"/>
    <xf numFmtId="0" fontId="0" fillId="31" borderId="8" xfId="0" applyFill="1" applyBorder="1" applyAlignment="1">
      <alignment horizontal="center"/>
    </xf>
    <xf numFmtId="0" fontId="4" fillId="30" borderId="0" xfId="0" applyFont="1" applyFill="1"/>
    <xf numFmtId="0" fontId="0" fillId="27" borderId="7" xfId="0" applyFill="1" applyBorder="1"/>
    <xf numFmtId="4" fontId="0" fillId="27" borderId="7" xfId="0" applyNumberFormat="1" applyFill="1" applyBorder="1"/>
    <xf numFmtId="165" fontId="0" fillId="27" borderId="7" xfId="0" applyNumberFormat="1" applyFill="1" applyBorder="1"/>
    <xf numFmtId="0" fontId="0" fillId="27" borderId="7" xfId="0" applyFill="1" applyBorder="1" applyAlignment="1">
      <alignment horizontal="center"/>
    </xf>
    <xf numFmtId="0" fontId="25" fillId="9" borderId="7" xfId="0" applyFont="1" applyFill="1" applyBorder="1" applyAlignment="1">
      <alignment horizontal="center"/>
    </xf>
    <xf numFmtId="0" fontId="25" fillId="9" borderId="14" xfId="0" applyFont="1" applyFill="1" applyBorder="1" applyAlignment="1">
      <alignment horizontal="center"/>
    </xf>
    <xf numFmtId="0" fontId="25" fillId="27" borderId="14" xfId="0" applyFont="1" applyFill="1" applyBorder="1" applyAlignment="1">
      <alignment horizontal="center"/>
    </xf>
    <xf numFmtId="0" fontId="25" fillId="27" borderId="13" xfId="0" applyFont="1" applyFill="1" applyBorder="1" applyAlignment="1">
      <alignment horizontal="center"/>
    </xf>
    <xf numFmtId="1" fontId="0" fillId="0" borderId="0" xfId="0" applyNumberFormat="1"/>
    <xf numFmtId="0" fontId="10" fillId="33" borderId="0" xfId="0" applyFont="1" applyFill="1"/>
    <xf numFmtId="0" fontId="10" fillId="34" borderId="8" xfId="0" applyFont="1" applyFill="1" applyBorder="1"/>
    <xf numFmtId="0" fontId="10" fillId="15" borderId="8" xfId="0" applyFont="1" applyFill="1" applyBorder="1"/>
    <xf numFmtId="14" fontId="0" fillId="4" borderId="0" xfId="0" applyNumberFormat="1" applyFill="1"/>
    <xf numFmtId="0" fontId="0" fillId="4" borderId="0" xfId="0" applyFill="1"/>
    <xf numFmtId="4" fontId="0" fillId="4" borderId="0" xfId="0" applyNumberFormat="1" applyFill="1"/>
    <xf numFmtId="14" fontId="0" fillId="14" borderId="0" xfId="0" applyNumberFormat="1" applyFill="1"/>
    <xf numFmtId="16" fontId="0" fillId="0" borderId="0" xfId="0" applyNumberFormat="1"/>
    <xf numFmtId="14" fontId="25" fillId="2" borderId="17" xfId="0" applyNumberFormat="1" applyFont="1" applyFill="1" applyBorder="1" applyAlignment="1">
      <alignment horizontal="left"/>
    </xf>
    <xf numFmtId="0" fontId="25" fillId="2" borderId="3" xfId="0" applyFont="1" applyFill="1" applyBorder="1" applyAlignment="1">
      <alignment horizontal="left"/>
    </xf>
    <xf numFmtId="4" fontId="25" fillId="2" borderId="3" xfId="0" applyNumberFormat="1" applyFont="1" applyFill="1" applyBorder="1" applyAlignment="1">
      <alignment horizontal="right"/>
    </xf>
    <xf numFmtId="1" fontId="25" fillId="2" borderId="3" xfId="0" applyNumberFormat="1" applyFont="1" applyFill="1" applyBorder="1" applyAlignment="1">
      <alignment horizontal="center"/>
    </xf>
    <xf numFmtId="14" fontId="25" fillId="0" borderId="17" xfId="0" applyNumberFormat="1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4" fontId="25" fillId="0" borderId="3" xfId="0" applyNumberFormat="1" applyFont="1" applyBorder="1" applyAlignment="1">
      <alignment horizontal="right"/>
    </xf>
    <xf numFmtId="1" fontId="25" fillId="0" borderId="3" xfId="0" applyNumberFormat="1" applyFont="1" applyBorder="1" applyAlignment="1">
      <alignment horizontal="center"/>
    </xf>
    <xf numFmtId="0" fontId="25" fillId="2" borderId="18" xfId="0" applyFont="1" applyFill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10" fillId="28" borderId="16" xfId="0" applyFont="1" applyFill="1" applyBorder="1" applyAlignment="1">
      <alignment horizontal="left" vertical="center"/>
    </xf>
    <xf numFmtId="0" fontId="10" fillId="28" borderId="19" xfId="0" applyFont="1" applyFill="1" applyBorder="1" applyAlignment="1">
      <alignment horizontal="left" vertical="center"/>
    </xf>
    <xf numFmtId="0" fontId="10" fillId="28" borderId="20" xfId="0" applyFont="1" applyFill="1" applyBorder="1" applyAlignment="1">
      <alignment horizontal="left" vertical="center"/>
    </xf>
    <xf numFmtId="0" fontId="7" fillId="28" borderId="4" xfId="0" applyFont="1" applyFill="1" applyBorder="1" applyAlignment="1">
      <alignment horizontal="center" vertical="center"/>
    </xf>
    <xf numFmtId="0" fontId="7" fillId="28" borderId="5" xfId="0" applyFont="1" applyFill="1" applyBorder="1" applyAlignment="1">
      <alignment horizontal="center" vertical="center"/>
    </xf>
    <xf numFmtId="0" fontId="7" fillId="28" borderId="6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13" borderId="27" xfId="0" applyFill="1" applyBorder="1"/>
    <xf numFmtId="0" fontId="4" fillId="8" borderId="0" xfId="0" applyFont="1" applyFill="1"/>
    <xf numFmtId="0" fontId="10" fillId="37" borderId="8" xfId="0" applyFont="1" applyFill="1" applyBorder="1" applyAlignment="1">
      <alignment horizontal="center"/>
    </xf>
    <xf numFmtId="0" fontId="4" fillId="8" borderId="8" xfId="0" applyFont="1" applyFill="1" applyBorder="1"/>
    <xf numFmtId="165" fontId="0" fillId="0" borderId="8" xfId="0" applyNumberFormat="1" applyBorder="1" applyAlignment="1">
      <alignment horizontal="right"/>
    </xf>
    <xf numFmtId="0" fontId="10" fillId="37" borderId="8" xfId="0" applyFont="1" applyFill="1" applyBorder="1"/>
    <xf numFmtId="165" fontId="10" fillId="37" borderId="8" xfId="0" applyNumberFormat="1" applyFont="1" applyFill="1" applyBorder="1" applyAlignment="1">
      <alignment horizontal="right"/>
    </xf>
    <xf numFmtId="0" fontId="4" fillId="30" borderId="30" xfId="0" applyFont="1" applyFill="1" applyBorder="1" applyAlignment="1">
      <alignment horizontal="center"/>
    </xf>
    <xf numFmtId="0" fontId="10" fillId="28" borderId="8" xfId="0" applyFont="1" applyFill="1" applyBorder="1" applyAlignment="1">
      <alignment horizontal="center"/>
    </xf>
    <xf numFmtId="0" fontId="4" fillId="30" borderId="8" xfId="0" applyFont="1" applyFill="1" applyBorder="1" applyAlignment="1">
      <alignment horizontal="center"/>
    </xf>
    <xf numFmtId="166" fontId="10" fillId="28" borderId="8" xfId="0" applyNumberFormat="1" applyFont="1" applyFill="1" applyBorder="1" applyAlignment="1">
      <alignment horizontal="right"/>
    </xf>
    <xf numFmtId="0" fontId="34" fillId="0" borderId="0" xfId="0" applyFont="1"/>
    <xf numFmtId="0" fontId="4" fillId="42" borderId="0" xfId="0" applyFont="1" applyFill="1"/>
    <xf numFmtId="0" fontId="37" fillId="0" borderId="0" xfId="0" applyFont="1"/>
    <xf numFmtId="0" fontId="4" fillId="13" borderId="0" xfId="0" applyFont="1" applyFill="1"/>
    <xf numFmtId="0" fontId="38" fillId="0" borderId="0" xfId="0" applyFont="1"/>
    <xf numFmtId="4" fontId="4" fillId="43" borderId="0" xfId="0" applyNumberFormat="1" applyFont="1" applyFill="1"/>
    <xf numFmtId="0" fontId="10" fillId="7" borderId="0" xfId="0" applyFont="1" applyFill="1" applyAlignment="1">
      <alignment horizontal="center"/>
    </xf>
    <xf numFmtId="0" fontId="10" fillId="44" borderId="0" xfId="0" applyFont="1" applyFill="1" applyAlignment="1">
      <alignment horizontal="center"/>
    </xf>
    <xf numFmtId="0" fontId="10" fillId="45" borderId="0" xfId="0" applyFont="1" applyFill="1" applyAlignment="1">
      <alignment horizontal="center"/>
    </xf>
    <xf numFmtId="0" fontId="10" fillId="46" borderId="0" xfId="0" applyFont="1" applyFill="1" applyAlignment="1">
      <alignment horizontal="center"/>
    </xf>
    <xf numFmtId="0" fontId="10" fillId="36" borderId="3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0" fontId="30" fillId="0" borderId="24" xfId="0" applyFont="1" applyBorder="1" applyAlignment="1">
      <alignment vertical="center"/>
    </xf>
    <xf numFmtId="4" fontId="30" fillId="0" borderId="24" xfId="0" applyNumberFormat="1" applyFont="1" applyBorder="1" applyAlignment="1">
      <alignment horizontal="right" vertical="center"/>
    </xf>
    <xf numFmtId="14" fontId="30" fillId="0" borderId="25" xfId="0" applyNumberFormat="1" applyFont="1" applyBorder="1" applyAlignment="1">
      <alignment horizontal="center" vertical="center"/>
    </xf>
    <xf numFmtId="0" fontId="30" fillId="0" borderId="26" xfId="0" applyFont="1" applyBorder="1" applyAlignment="1">
      <alignment vertical="center"/>
    </xf>
    <xf numFmtId="4" fontId="30" fillId="0" borderId="26" xfId="0" applyNumberFormat="1" applyFont="1" applyBorder="1" applyAlignment="1">
      <alignment horizontal="right" vertical="center"/>
    </xf>
    <xf numFmtId="14" fontId="8" fillId="0" borderId="0" xfId="0" applyNumberFormat="1" applyFont="1"/>
    <xf numFmtId="0" fontId="8" fillId="0" borderId="21" xfId="0" applyFont="1" applyBorder="1"/>
    <xf numFmtId="14" fontId="30" fillId="0" borderId="22" xfId="0" applyNumberFormat="1" applyFont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4" fontId="30" fillId="0" borderId="15" xfId="0" applyNumberFormat="1" applyFont="1" applyBorder="1" applyAlignment="1">
      <alignment horizontal="right" vertical="center"/>
    </xf>
    <xf numFmtId="0" fontId="41" fillId="0" borderId="0" xfId="0" applyFont="1"/>
    <xf numFmtId="14" fontId="42" fillId="48" borderId="0" xfId="0" applyNumberFormat="1" applyFont="1" applyFill="1"/>
    <xf numFmtId="0" fontId="42" fillId="48" borderId="0" xfId="0" applyFont="1" applyFill="1"/>
    <xf numFmtId="4" fontId="42" fillId="48" borderId="0" xfId="0" applyNumberFormat="1" applyFont="1" applyFill="1"/>
    <xf numFmtId="167" fontId="0" fillId="0" borderId="0" xfId="0" applyNumberFormat="1"/>
    <xf numFmtId="0" fontId="43" fillId="0" borderId="0" xfId="0" applyFont="1"/>
    <xf numFmtId="0" fontId="25" fillId="0" borderId="0" xfId="0" applyFont="1"/>
    <xf numFmtId="0" fontId="44" fillId="0" borderId="0" xfId="0" applyFont="1"/>
    <xf numFmtId="0" fontId="45" fillId="0" borderId="0" xfId="0" applyFont="1"/>
    <xf numFmtId="0" fontId="10" fillId="5" borderId="39" xfId="0" applyFont="1" applyFill="1" applyBorder="1" applyAlignment="1">
      <alignment horizontal="center" vertical="center"/>
    </xf>
    <xf numFmtId="0" fontId="10" fillId="5" borderId="40" xfId="0" applyFont="1" applyFill="1" applyBorder="1" applyAlignment="1">
      <alignment horizontal="center" vertical="center"/>
    </xf>
    <xf numFmtId="0" fontId="10" fillId="5" borderId="41" xfId="0" applyFont="1" applyFill="1" applyBorder="1" applyAlignment="1">
      <alignment horizontal="center" vertical="center"/>
    </xf>
    <xf numFmtId="14" fontId="30" fillId="55" borderId="42" xfId="0" applyNumberFormat="1" applyFont="1" applyFill="1" applyBorder="1" applyAlignment="1">
      <alignment horizontal="center"/>
    </xf>
    <xf numFmtId="0" fontId="30" fillId="55" borderId="43" xfId="0" applyFont="1" applyFill="1" applyBorder="1" applyAlignment="1">
      <alignment horizontal="center"/>
    </xf>
    <xf numFmtId="0" fontId="30" fillId="55" borderId="43" xfId="0" applyFont="1" applyFill="1" applyBorder="1" applyAlignment="1">
      <alignment horizontal="left"/>
    </xf>
    <xf numFmtId="0" fontId="30" fillId="55" borderId="44" xfId="0" applyFont="1" applyFill="1" applyBorder="1" applyAlignment="1">
      <alignment horizontal="center"/>
    </xf>
    <xf numFmtId="14" fontId="30" fillId="56" borderId="42" xfId="0" applyNumberFormat="1" applyFont="1" applyFill="1" applyBorder="1" applyAlignment="1">
      <alignment horizontal="center"/>
    </xf>
    <xf numFmtId="0" fontId="30" fillId="56" borderId="43" xfId="0" applyFont="1" applyFill="1" applyBorder="1" applyAlignment="1">
      <alignment horizontal="center"/>
    </xf>
    <xf numFmtId="0" fontId="30" fillId="56" borderId="43" xfId="0" applyFont="1" applyFill="1" applyBorder="1" applyAlignment="1">
      <alignment horizontal="left"/>
    </xf>
    <xf numFmtId="0" fontId="30" fillId="56" borderId="44" xfId="0" applyFont="1" applyFill="1" applyBorder="1" applyAlignment="1">
      <alignment horizontal="center"/>
    </xf>
    <xf numFmtId="14" fontId="30" fillId="57" borderId="42" xfId="0" applyNumberFormat="1" applyFont="1" applyFill="1" applyBorder="1" applyAlignment="1">
      <alignment horizontal="center"/>
    </xf>
    <xf numFmtId="0" fontId="30" fillId="57" borderId="43" xfId="0" applyFont="1" applyFill="1" applyBorder="1" applyAlignment="1">
      <alignment horizontal="center"/>
    </xf>
    <xf numFmtId="0" fontId="30" fillId="57" borderId="43" xfId="0" applyFont="1" applyFill="1" applyBorder="1" applyAlignment="1">
      <alignment horizontal="left"/>
    </xf>
    <xf numFmtId="0" fontId="30" fillId="57" borderId="44" xfId="0" applyFont="1" applyFill="1" applyBorder="1" applyAlignment="1">
      <alignment horizontal="center"/>
    </xf>
    <xf numFmtId="14" fontId="30" fillId="53" borderId="42" xfId="0" applyNumberFormat="1" applyFont="1" applyFill="1" applyBorder="1" applyAlignment="1">
      <alignment horizontal="center"/>
    </xf>
    <xf numFmtId="0" fontId="30" fillId="53" borderId="43" xfId="0" applyFont="1" applyFill="1" applyBorder="1" applyAlignment="1">
      <alignment horizontal="center"/>
    </xf>
    <xf numFmtId="0" fontId="30" fillId="53" borderId="43" xfId="0" applyFont="1" applyFill="1" applyBorder="1" applyAlignment="1">
      <alignment horizontal="left"/>
    </xf>
    <xf numFmtId="0" fontId="30" fillId="53" borderId="44" xfId="0" applyFont="1" applyFill="1" applyBorder="1" applyAlignment="1">
      <alignment horizontal="center"/>
    </xf>
    <xf numFmtId="14" fontId="30" fillId="58" borderId="42" xfId="0" applyNumberFormat="1" applyFont="1" applyFill="1" applyBorder="1" applyAlignment="1">
      <alignment horizontal="center"/>
    </xf>
    <xf numFmtId="0" fontId="30" fillId="58" borderId="43" xfId="0" applyFont="1" applyFill="1" applyBorder="1" applyAlignment="1">
      <alignment horizontal="center"/>
    </xf>
    <xf numFmtId="0" fontId="30" fillId="58" borderId="43" xfId="0" applyFont="1" applyFill="1" applyBorder="1" applyAlignment="1">
      <alignment horizontal="left"/>
    </xf>
    <xf numFmtId="0" fontId="30" fillId="58" borderId="44" xfId="0" applyFont="1" applyFill="1" applyBorder="1" applyAlignment="1">
      <alignment horizontal="center"/>
    </xf>
    <xf numFmtId="14" fontId="30" fillId="51" borderId="42" xfId="0" applyNumberFormat="1" applyFont="1" applyFill="1" applyBorder="1" applyAlignment="1">
      <alignment horizontal="center"/>
    </xf>
    <xf numFmtId="0" fontId="30" fillId="51" borderId="43" xfId="0" applyFont="1" applyFill="1" applyBorder="1" applyAlignment="1">
      <alignment horizontal="center"/>
    </xf>
    <xf numFmtId="0" fontId="30" fillId="51" borderId="43" xfId="0" applyFont="1" applyFill="1" applyBorder="1" applyAlignment="1">
      <alignment horizontal="left"/>
    </xf>
    <xf numFmtId="0" fontId="30" fillId="51" borderId="44" xfId="0" applyFont="1" applyFill="1" applyBorder="1" applyAlignment="1">
      <alignment horizontal="center"/>
    </xf>
    <xf numFmtId="14" fontId="30" fillId="52" borderId="42" xfId="0" applyNumberFormat="1" applyFont="1" applyFill="1" applyBorder="1" applyAlignment="1">
      <alignment horizontal="center"/>
    </xf>
    <xf numFmtId="0" fontId="30" fillId="52" borderId="43" xfId="0" applyFont="1" applyFill="1" applyBorder="1" applyAlignment="1">
      <alignment horizontal="center"/>
    </xf>
    <xf numFmtId="0" fontId="30" fillId="52" borderId="43" xfId="0" applyFont="1" applyFill="1" applyBorder="1" applyAlignment="1">
      <alignment horizontal="left"/>
    </xf>
    <xf numFmtId="0" fontId="30" fillId="52" borderId="44" xfId="0" applyFont="1" applyFill="1" applyBorder="1" applyAlignment="1">
      <alignment horizontal="center"/>
    </xf>
    <xf numFmtId="14" fontId="30" fillId="54" borderId="42" xfId="0" applyNumberFormat="1" applyFont="1" applyFill="1" applyBorder="1" applyAlignment="1">
      <alignment horizontal="center"/>
    </xf>
    <xf numFmtId="0" fontId="30" fillId="54" borderId="43" xfId="0" applyFont="1" applyFill="1" applyBorder="1" applyAlignment="1">
      <alignment horizontal="center"/>
    </xf>
    <xf numFmtId="0" fontId="30" fillId="54" borderId="43" xfId="0" applyFont="1" applyFill="1" applyBorder="1" applyAlignment="1">
      <alignment horizontal="left"/>
    </xf>
    <xf numFmtId="0" fontId="30" fillId="54" borderId="44" xfId="0" applyFont="1" applyFill="1" applyBorder="1" applyAlignment="1">
      <alignment horizontal="center"/>
    </xf>
    <xf numFmtId="14" fontId="30" fillId="54" borderId="45" xfId="0" applyNumberFormat="1" applyFont="1" applyFill="1" applyBorder="1" applyAlignment="1">
      <alignment horizontal="center"/>
    </xf>
    <xf numFmtId="0" fontId="30" fillId="54" borderId="46" xfId="0" applyFont="1" applyFill="1" applyBorder="1" applyAlignment="1">
      <alignment horizontal="center"/>
    </xf>
    <xf numFmtId="0" fontId="30" fillId="54" borderId="46" xfId="0" applyFont="1" applyFill="1" applyBorder="1" applyAlignment="1">
      <alignment horizontal="left"/>
    </xf>
    <xf numFmtId="0" fontId="30" fillId="54" borderId="47" xfId="0" applyFont="1" applyFill="1" applyBorder="1" applyAlignment="1">
      <alignment horizontal="center"/>
    </xf>
    <xf numFmtId="0" fontId="0" fillId="0" borderId="36" xfId="0" applyBorder="1"/>
    <xf numFmtId="4" fontId="8" fillId="0" borderId="0" xfId="0" applyNumberFormat="1" applyFont="1"/>
    <xf numFmtId="14" fontId="30" fillId="0" borderId="48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vertical="center"/>
    </xf>
    <xf numFmtId="4" fontId="30" fillId="0" borderId="49" xfId="0" applyNumberFormat="1" applyFont="1" applyBorder="1" applyAlignment="1">
      <alignment horizontal="right" vertical="center"/>
    </xf>
    <xf numFmtId="0" fontId="8" fillId="0" borderId="50" xfId="0" applyFont="1" applyBorder="1"/>
    <xf numFmtId="14" fontId="30" fillId="0" borderId="51" xfId="0" applyNumberFormat="1" applyFont="1" applyBorder="1" applyAlignment="1">
      <alignment horizontal="center" vertical="center"/>
    </xf>
    <xf numFmtId="0" fontId="30" fillId="0" borderId="52" xfId="0" applyFont="1" applyBorder="1" applyAlignment="1">
      <alignment vertical="center"/>
    </xf>
    <xf numFmtId="4" fontId="30" fillId="0" borderId="52" xfId="0" applyNumberFormat="1" applyFont="1" applyBorder="1" applyAlignment="1">
      <alignment horizontal="right" vertical="center"/>
    </xf>
    <xf numFmtId="0" fontId="8" fillId="0" borderId="51" xfId="0" applyFont="1" applyBorder="1"/>
    <xf numFmtId="0" fontId="0" fillId="0" borderId="37" xfId="0" applyBorder="1"/>
    <xf numFmtId="14" fontId="30" fillId="0" borderId="53" xfId="0" applyNumberFormat="1" applyFont="1" applyBorder="1" applyAlignment="1">
      <alignment horizontal="center" vertical="center"/>
    </xf>
    <xf numFmtId="0" fontId="30" fillId="0" borderId="54" xfId="0" applyFont="1" applyBorder="1" applyAlignment="1">
      <alignment vertical="center"/>
    </xf>
    <xf numFmtId="4" fontId="30" fillId="0" borderId="54" xfId="0" applyNumberFormat="1" applyFont="1" applyBorder="1" applyAlignment="1">
      <alignment horizontal="right" vertical="center"/>
    </xf>
    <xf numFmtId="0" fontId="8" fillId="0" borderId="53" xfId="0" applyFont="1" applyBorder="1"/>
    <xf numFmtId="0" fontId="0" fillId="0" borderId="38" xfId="0" applyBorder="1"/>
    <xf numFmtId="49" fontId="0" fillId="0" borderId="0" xfId="0" applyNumberFormat="1"/>
    <xf numFmtId="14" fontId="30" fillId="0" borderId="22" xfId="0" quotePrefix="1" applyNumberFormat="1" applyFont="1" applyBorder="1" applyAlignment="1">
      <alignment horizontal="center" vertical="center"/>
    </xf>
    <xf numFmtId="0" fontId="48" fillId="0" borderId="0" xfId="0" applyFont="1"/>
    <xf numFmtId="0" fontId="49" fillId="60" borderId="0" xfId="0" applyFont="1" applyFill="1"/>
    <xf numFmtId="43" fontId="50" fillId="60" borderId="0" xfId="2" applyFont="1" applyFill="1"/>
    <xf numFmtId="43" fontId="49" fillId="60" borderId="0" xfId="0" applyNumberFormat="1" applyFont="1" applyFill="1"/>
    <xf numFmtId="166" fontId="49" fillId="60" borderId="0" xfId="0" applyNumberFormat="1" applyFont="1" applyFill="1"/>
    <xf numFmtId="0" fontId="11" fillId="5" borderId="0" xfId="0" applyFont="1" applyFill="1"/>
    <xf numFmtId="0" fontId="26" fillId="47" borderId="0" xfId="0" applyFont="1" applyFill="1"/>
    <xf numFmtId="0" fontId="24" fillId="14" borderId="0" xfId="0" applyFont="1" applyFill="1"/>
    <xf numFmtId="168" fontId="0" fillId="0" borderId="0" xfId="0" applyNumberFormat="1"/>
    <xf numFmtId="168" fontId="4" fillId="32" borderId="0" xfId="0" applyNumberFormat="1" applyFont="1" applyFill="1"/>
    <xf numFmtId="0" fontId="10" fillId="36" borderId="55" xfId="0" applyFont="1" applyFill="1" applyBorder="1" applyAlignment="1">
      <alignment horizontal="center" vertical="center"/>
    </xf>
    <xf numFmtId="0" fontId="10" fillId="36" borderId="56" xfId="0" applyFont="1" applyFill="1" applyBorder="1" applyAlignment="1">
      <alignment horizontal="center" vertical="center"/>
    </xf>
    <xf numFmtId="0" fontId="10" fillId="5" borderId="58" xfId="0" applyFont="1" applyFill="1" applyBorder="1" applyAlignment="1">
      <alignment horizontal="center" vertical="center"/>
    </xf>
    <xf numFmtId="0" fontId="10" fillId="5" borderId="58" xfId="0" applyFont="1" applyFill="1" applyBorder="1" applyAlignment="1">
      <alignment horizontal="center"/>
    </xf>
    <xf numFmtId="0" fontId="53" fillId="61" borderId="0" xfId="0" applyFont="1" applyFill="1" applyAlignment="1">
      <alignment horizontal="center" vertical="center"/>
    </xf>
    <xf numFmtId="4" fontId="39" fillId="50" borderId="62" xfId="0" applyNumberFormat="1" applyFont="1" applyFill="1" applyBorder="1" applyAlignment="1">
      <alignment horizontal="right" vertical="center"/>
    </xf>
    <xf numFmtId="4" fontId="8" fillId="9" borderId="62" xfId="0" applyNumberFormat="1" applyFont="1" applyFill="1" applyBorder="1" applyAlignment="1">
      <alignment horizontal="right" vertical="center"/>
    </xf>
    <xf numFmtId="4" fontId="8" fillId="8" borderId="62" xfId="0" applyNumberFormat="1" applyFont="1" applyFill="1" applyBorder="1" applyAlignment="1">
      <alignment horizontal="right" vertical="center"/>
    </xf>
    <xf numFmtId="0" fontId="46" fillId="49" borderId="61" xfId="0" applyFont="1" applyFill="1" applyBorder="1" applyAlignment="1">
      <alignment horizontal="left" vertical="center"/>
    </xf>
    <xf numFmtId="0" fontId="12" fillId="9" borderId="61" xfId="0" applyFont="1" applyFill="1" applyBorder="1" applyAlignment="1">
      <alignment horizontal="left" vertical="center"/>
    </xf>
    <xf numFmtId="0" fontId="12" fillId="8" borderId="61" xfId="0" applyFont="1" applyFill="1" applyBorder="1" applyAlignment="1">
      <alignment horizontal="left" vertical="center"/>
    </xf>
    <xf numFmtId="4" fontId="8" fillId="9" borderId="63" xfId="0" applyNumberFormat="1" applyFont="1" applyFill="1" applyBorder="1" applyAlignment="1">
      <alignment horizontal="right" vertical="center"/>
    </xf>
    <xf numFmtId="4" fontId="8" fillId="8" borderId="63" xfId="0" applyNumberFormat="1" applyFont="1" applyFill="1" applyBorder="1" applyAlignment="1">
      <alignment horizontal="right" vertical="center"/>
    </xf>
    <xf numFmtId="0" fontId="39" fillId="50" borderId="61" xfId="0" applyFont="1" applyFill="1" applyBorder="1" applyAlignment="1">
      <alignment horizontal="left" vertical="center"/>
    </xf>
    <xf numFmtId="4" fontId="39" fillId="50" borderId="63" xfId="0" applyNumberFormat="1" applyFont="1" applyFill="1" applyBorder="1" applyAlignment="1">
      <alignment horizontal="right" vertical="center"/>
    </xf>
    <xf numFmtId="8" fontId="0" fillId="0" borderId="0" xfId="0" applyNumberFormat="1"/>
    <xf numFmtId="8" fontId="0" fillId="8" borderId="0" xfId="0" applyNumberFormat="1" applyFill="1"/>
    <xf numFmtId="8" fontId="0" fillId="12" borderId="0" xfId="0" applyNumberFormat="1" applyFill="1"/>
    <xf numFmtId="8" fontId="0" fillId="14" borderId="0" xfId="0" applyNumberFormat="1" applyFill="1"/>
    <xf numFmtId="8" fontId="0" fillId="4" borderId="0" xfId="0" applyNumberFormat="1" applyFill="1"/>
    <xf numFmtId="8" fontId="4" fillId="43" borderId="0" xfId="0" applyNumberFormat="1" applyFont="1" applyFill="1"/>
    <xf numFmtId="169" fontId="0" fillId="13" borderId="0" xfId="0" applyNumberFormat="1" applyFill="1"/>
    <xf numFmtId="169" fontId="30" fillId="55" borderId="43" xfId="0" applyNumberFormat="1" applyFont="1" applyFill="1" applyBorder="1" applyAlignment="1">
      <alignment horizontal="right"/>
    </xf>
    <xf numFmtId="169" fontId="30" fillId="56" borderId="43" xfId="0" applyNumberFormat="1" applyFont="1" applyFill="1" applyBorder="1" applyAlignment="1">
      <alignment horizontal="right"/>
    </xf>
    <xf numFmtId="169" fontId="30" fillId="57" borderId="43" xfId="0" applyNumberFormat="1" applyFont="1" applyFill="1" applyBorder="1" applyAlignment="1">
      <alignment horizontal="right"/>
    </xf>
    <xf numFmtId="169" fontId="30" fillId="53" borderId="43" xfId="0" applyNumberFormat="1" applyFont="1" applyFill="1" applyBorder="1" applyAlignment="1">
      <alignment horizontal="right"/>
    </xf>
    <xf numFmtId="169" fontId="30" fillId="58" borderId="43" xfId="0" applyNumberFormat="1" applyFont="1" applyFill="1" applyBorder="1" applyAlignment="1">
      <alignment horizontal="right"/>
    </xf>
    <xf numFmtId="169" fontId="30" fillId="51" borderId="43" xfId="0" applyNumberFormat="1" applyFont="1" applyFill="1" applyBorder="1" applyAlignment="1">
      <alignment horizontal="right"/>
    </xf>
    <xf numFmtId="169" fontId="30" fillId="52" borderId="43" xfId="0" applyNumberFormat="1" applyFont="1" applyFill="1" applyBorder="1" applyAlignment="1">
      <alignment horizontal="right"/>
    </xf>
    <xf numFmtId="169" fontId="30" fillId="54" borderId="43" xfId="0" applyNumberFormat="1" applyFont="1" applyFill="1" applyBorder="1" applyAlignment="1">
      <alignment horizontal="right"/>
    </xf>
    <xf numFmtId="169" fontId="30" fillId="54" borderId="46" xfId="0" applyNumberFormat="1" applyFont="1" applyFill="1" applyBorder="1" applyAlignment="1">
      <alignment horizontal="right"/>
    </xf>
    <xf numFmtId="4" fontId="40" fillId="49" borderId="62" xfId="0" applyNumberFormat="1" applyFont="1" applyFill="1" applyBorder="1" applyAlignment="1">
      <alignment horizontal="right" vertical="center"/>
    </xf>
    <xf numFmtId="4" fontId="40" fillId="49" borderId="63" xfId="0" applyNumberFormat="1" applyFont="1" applyFill="1" applyBorder="1" applyAlignment="1">
      <alignment horizontal="right" vertical="center"/>
    </xf>
    <xf numFmtId="0" fontId="65" fillId="10" borderId="61" xfId="0" applyFont="1" applyFill="1" applyBorder="1" applyAlignment="1">
      <alignment horizontal="left" vertical="center"/>
    </xf>
    <xf numFmtId="4" fontId="40" fillId="10" borderId="62" xfId="0" applyNumberFormat="1" applyFont="1" applyFill="1" applyBorder="1" applyAlignment="1">
      <alignment horizontal="right" vertical="center"/>
    </xf>
    <xf numFmtId="4" fontId="40" fillId="10" borderId="63" xfId="0" applyNumberFormat="1" applyFont="1" applyFill="1" applyBorder="1" applyAlignment="1">
      <alignment horizontal="right" vertical="center"/>
    </xf>
    <xf numFmtId="0" fontId="65" fillId="9" borderId="61" xfId="0" applyFont="1" applyFill="1" applyBorder="1" applyAlignment="1">
      <alignment horizontal="left" vertical="center"/>
    </xf>
    <xf numFmtId="4" fontId="40" fillId="9" borderId="62" xfId="0" applyNumberFormat="1" applyFont="1" applyFill="1" applyBorder="1" applyAlignment="1">
      <alignment horizontal="right" vertical="center"/>
    </xf>
    <xf numFmtId="4" fontId="40" fillId="9" borderId="63" xfId="0" applyNumberFormat="1" applyFont="1" applyFill="1" applyBorder="1" applyAlignment="1">
      <alignment horizontal="right" vertical="center"/>
    </xf>
    <xf numFmtId="0" fontId="66" fillId="12" borderId="61" xfId="0" applyFont="1" applyFill="1" applyBorder="1" applyAlignment="1">
      <alignment horizontal="left" vertical="center"/>
    </xf>
    <xf numFmtId="4" fontId="0" fillId="12" borderId="62" xfId="0" applyNumberFormat="1" applyFill="1" applyBorder="1" applyAlignment="1">
      <alignment horizontal="right" vertical="center"/>
    </xf>
    <xf numFmtId="4" fontId="0" fillId="12" borderId="63" xfId="0" applyNumberFormat="1" applyFill="1" applyBorder="1" applyAlignment="1">
      <alignment horizontal="right" vertical="center"/>
    </xf>
    <xf numFmtId="0" fontId="67" fillId="9" borderId="61" xfId="0" applyFont="1" applyFill="1" applyBorder="1" applyAlignment="1">
      <alignment horizontal="left" vertical="center"/>
    </xf>
    <xf numFmtId="4" fontId="0" fillId="9" borderId="62" xfId="0" applyNumberFormat="1" applyFill="1" applyBorder="1" applyAlignment="1">
      <alignment horizontal="right" vertical="center"/>
    </xf>
    <xf numFmtId="4" fontId="0" fillId="9" borderId="63" xfId="0" applyNumberFormat="1" applyFill="1" applyBorder="1" applyAlignment="1">
      <alignment horizontal="right" vertical="center"/>
    </xf>
    <xf numFmtId="0" fontId="67" fillId="12" borderId="61" xfId="0" applyFont="1" applyFill="1" applyBorder="1" applyAlignment="1">
      <alignment horizontal="left" vertical="center"/>
    </xf>
    <xf numFmtId="0" fontId="63" fillId="12" borderId="67" xfId="0" applyFont="1" applyFill="1" applyBorder="1" applyAlignment="1">
      <alignment horizontal="left" vertical="center"/>
    </xf>
    <xf numFmtId="0" fontId="12" fillId="9" borderId="70" xfId="0" applyFont="1" applyFill="1" applyBorder="1" applyAlignment="1">
      <alignment horizontal="left" vertical="center"/>
    </xf>
    <xf numFmtId="4" fontId="8" fillId="9" borderId="71" xfId="0" applyNumberFormat="1" applyFont="1" applyFill="1" applyBorder="1" applyAlignment="1">
      <alignment horizontal="right" vertical="center"/>
    </xf>
    <xf numFmtId="4" fontId="8" fillId="9" borderId="72" xfId="0" applyNumberFormat="1" applyFont="1" applyFill="1" applyBorder="1" applyAlignment="1">
      <alignment horizontal="right" vertical="center"/>
    </xf>
    <xf numFmtId="0" fontId="56" fillId="11" borderId="64" xfId="0" applyFont="1" applyFill="1" applyBorder="1" applyAlignment="1">
      <alignment horizontal="left" vertical="center"/>
    </xf>
    <xf numFmtId="0" fontId="12" fillId="8" borderId="73" xfId="0" applyFont="1" applyFill="1" applyBorder="1" applyAlignment="1">
      <alignment horizontal="left" vertical="center"/>
    </xf>
    <xf numFmtId="4" fontId="8" fillId="8" borderId="74" xfId="0" applyNumberFormat="1" applyFont="1" applyFill="1" applyBorder="1" applyAlignment="1">
      <alignment horizontal="right" vertical="center"/>
    </xf>
    <xf numFmtId="4" fontId="8" fillId="8" borderId="75" xfId="0" applyNumberFormat="1" applyFont="1" applyFill="1" applyBorder="1" applyAlignment="1">
      <alignment horizontal="right" vertical="center"/>
    </xf>
    <xf numFmtId="0" fontId="65" fillId="10" borderId="70" xfId="0" applyFont="1" applyFill="1" applyBorder="1" applyAlignment="1">
      <alignment horizontal="left" vertical="center"/>
    </xf>
    <xf numFmtId="4" fontId="40" fillId="10" borderId="71" xfId="0" applyNumberFormat="1" applyFont="1" applyFill="1" applyBorder="1" applyAlignment="1">
      <alignment horizontal="right" vertical="center"/>
    </xf>
    <xf numFmtId="4" fontId="40" fillId="10" borderId="72" xfId="0" applyNumberFormat="1" applyFont="1" applyFill="1" applyBorder="1" applyAlignment="1">
      <alignment horizontal="right" vertical="center"/>
    </xf>
    <xf numFmtId="0" fontId="58" fillId="31" borderId="64" xfId="0" applyFont="1" applyFill="1" applyBorder="1" applyAlignment="1">
      <alignment horizontal="left" vertical="center"/>
    </xf>
    <xf numFmtId="0" fontId="65" fillId="9" borderId="73" xfId="0" applyFont="1" applyFill="1" applyBorder="1" applyAlignment="1">
      <alignment horizontal="left" vertical="center"/>
    </xf>
    <xf numFmtId="4" fontId="40" fillId="9" borderId="74" xfId="0" applyNumberFormat="1" applyFont="1" applyFill="1" applyBorder="1" applyAlignment="1">
      <alignment horizontal="right" vertical="center"/>
    </xf>
    <xf numFmtId="4" fontId="40" fillId="9" borderId="75" xfId="0" applyNumberFormat="1" applyFont="1" applyFill="1" applyBorder="1" applyAlignment="1">
      <alignment horizontal="right" vertical="center"/>
    </xf>
    <xf numFmtId="0" fontId="67" fillId="9" borderId="70" xfId="0" applyFont="1" applyFill="1" applyBorder="1" applyAlignment="1">
      <alignment horizontal="left" vertical="center"/>
    </xf>
    <xf numFmtId="4" fontId="0" fillId="9" borderId="71" xfId="0" applyNumberFormat="1" applyFill="1" applyBorder="1" applyAlignment="1">
      <alignment horizontal="right" vertical="center"/>
    </xf>
    <xf numFmtId="4" fontId="0" fillId="9" borderId="72" xfId="0" applyNumberFormat="1" applyFill="1" applyBorder="1" applyAlignment="1">
      <alignment horizontal="right" vertical="center"/>
    </xf>
    <xf numFmtId="0" fontId="61" fillId="63" borderId="64" xfId="0" applyFont="1" applyFill="1" applyBorder="1" applyAlignment="1">
      <alignment horizontal="left" vertical="center"/>
    </xf>
    <xf numFmtId="0" fontId="67" fillId="12" borderId="76" xfId="0" applyFont="1" applyFill="1" applyBorder="1" applyAlignment="1">
      <alignment horizontal="left" vertical="center"/>
    </xf>
    <xf numFmtId="4" fontId="0" fillId="12" borderId="77" xfId="0" applyNumberFormat="1" applyFill="1" applyBorder="1" applyAlignment="1">
      <alignment horizontal="right" vertical="center"/>
    </xf>
    <xf numFmtId="4" fontId="0" fillId="12" borderId="78" xfId="0" applyNumberFormat="1" applyFill="1" applyBorder="1" applyAlignment="1">
      <alignment horizontal="right" vertical="center"/>
    </xf>
    <xf numFmtId="169" fontId="16" fillId="11" borderId="65" xfId="0" applyNumberFormat="1" applyFont="1" applyFill="1" applyBorder="1" applyAlignment="1">
      <alignment horizontal="right" vertical="center"/>
    </xf>
    <xf numFmtId="169" fontId="57" fillId="11" borderId="65" xfId="0" applyNumberFormat="1" applyFont="1" applyFill="1" applyBorder="1" applyAlignment="1">
      <alignment horizontal="right" vertical="center"/>
    </xf>
    <xf numFmtId="169" fontId="16" fillId="11" borderId="66" xfId="0" applyNumberFormat="1" applyFont="1" applyFill="1" applyBorder="1" applyAlignment="1">
      <alignment horizontal="right" vertical="center"/>
    </xf>
    <xf numFmtId="169" fontId="59" fillId="31" borderId="65" xfId="0" applyNumberFormat="1" applyFont="1" applyFill="1" applyBorder="1" applyAlignment="1">
      <alignment horizontal="right" vertical="center"/>
    </xf>
    <xf numFmtId="169" fontId="60" fillId="31" borderId="65" xfId="0" applyNumberFormat="1" applyFont="1" applyFill="1" applyBorder="1" applyAlignment="1">
      <alignment horizontal="right" vertical="center"/>
    </xf>
    <xf numFmtId="169" fontId="59" fillId="31" borderId="66" xfId="0" applyNumberFormat="1" applyFont="1" applyFill="1" applyBorder="1" applyAlignment="1">
      <alignment horizontal="right" vertical="center"/>
    </xf>
    <xf numFmtId="8" fontId="62" fillId="63" borderId="65" xfId="0" applyNumberFormat="1" applyFont="1" applyFill="1" applyBorder="1" applyAlignment="1">
      <alignment horizontal="right"/>
    </xf>
    <xf numFmtId="8" fontId="62" fillId="63" borderId="66" xfId="0" applyNumberFormat="1" applyFont="1" applyFill="1" applyBorder="1" applyAlignment="1">
      <alignment horizontal="right"/>
    </xf>
    <xf numFmtId="8" fontId="64" fillId="12" borderId="68" xfId="0" applyNumberFormat="1" applyFont="1" applyFill="1" applyBorder="1" applyAlignment="1">
      <alignment horizontal="right"/>
    </xf>
    <xf numFmtId="8" fontId="64" fillId="12" borderId="69" xfId="0" applyNumberFormat="1" applyFont="1" applyFill="1" applyBorder="1" applyAlignment="1">
      <alignment horizontal="right"/>
    </xf>
    <xf numFmtId="0" fontId="54" fillId="29" borderId="64" xfId="0" applyFont="1" applyFill="1" applyBorder="1" applyAlignment="1">
      <alignment horizontal="left" vertical="center"/>
    </xf>
    <xf numFmtId="169" fontId="54" fillId="29" borderId="65" xfId="0" applyNumberFormat="1" applyFont="1" applyFill="1" applyBorder="1" applyAlignment="1">
      <alignment horizontal="right" vertical="center"/>
    </xf>
    <xf numFmtId="169" fontId="55" fillId="29" borderId="65" xfId="0" applyNumberFormat="1" applyFont="1" applyFill="1" applyBorder="1" applyAlignment="1">
      <alignment horizontal="right" vertical="center"/>
    </xf>
    <xf numFmtId="169" fontId="54" fillId="29" borderId="66" xfId="0" applyNumberFormat="1" applyFont="1" applyFill="1" applyBorder="1" applyAlignment="1">
      <alignment horizontal="right" vertical="center"/>
    </xf>
    <xf numFmtId="0" fontId="10" fillId="5" borderId="80" xfId="0" applyFont="1" applyFill="1" applyBorder="1" applyAlignment="1">
      <alignment horizontal="center" vertical="center"/>
    </xf>
    <xf numFmtId="164" fontId="10" fillId="5" borderId="80" xfId="0" applyNumberFormat="1" applyFont="1" applyFill="1" applyBorder="1" applyAlignment="1">
      <alignment horizontal="center" vertical="center"/>
    </xf>
    <xf numFmtId="0" fontId="10" fillId="5" borderId="81" xfId="0" applyFont="1" applyFill="1" applyBorder="1" applyAlignment="1">
      <alignment horizontal="center" vertical="center"/>
    </xf>
    <xf numFmtId="0" fontId="11" fillId="5" borderId="82" xfId="0" applyFont="1" applyFill="1" applyBorder="1" applyAlignment="1">
      <alignment horizontal="center" vertical="center"/>
    </xf>
    <xf numFmtId="0" fontId="26" fillId="5" borderId="83" xfId="0" applyFont="1" applyFill="1" applyBorder="1" applyAlignment="1">
      <alignment horizontal="center"/>
    </xf>
    <xf numFmtId="0" fontId="10" fillId="5" borderId="79" xfId="0" applyFont="1" applyFill="1" applyBorder="1" applyAlignment="1">
      <alignment horizontal="left" vertical="center"/>
    </xf>
    <xf numFmtId="0" fontId="51" fillId="22" borderId="57" xfId="0" applyFont="1" applyFill="1" applyBorder="1" applyAlignment="1">
      <alignment horizontal="center" vertical="center"/>
    </xf>
    <xf numFmtId="0" fontId="51" fillId="62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10" fillId="47" borderId="87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68" fillId="63" borderId="0" xfId="0" applyFont="1" applyFill="1" applyAlignment="1">
      <alignment horizontal="center"/>
    </xf>
    <xf numFmtId="14" fontId="4" fillId="43" borderId="0" xfId="0" applyNumberFormat="1" applyFont="1" applyFill="1"/>
    <xf numFmtId="0" fontId="4" fillId="6" borderId="0" xfId="0" applyFont="1" applyFill="1"/>
    <xf numFmtId="0" fontId="0" fillId="0" borderId="28" xfId="0" applyBorder="1"/>
    <xf numFmtId="0" fontId="0" fillId="67" borderId="88" xfId="0" applyFill="1" applyBorder="1" applyAlignment="1">
      <alignment horizontal="center"/>
    </xf>
    <xf numFmtId="0" fontId="0" fillId="64" borderId="88" xfId="0" applyFill="1" applyBorder="1" applyAlignment="1">
      <alignment horizontal="center"/>
    </xf>
    <xf numFmtId="0" fontId="0" fillId="66" borderId="88" xfId="0" applyFill="1" applyBorder="1" applyAlignment="1">
      <alignment horizontal="center"/>
    </xf>
    <xf numFmtId="0" fontId="0" fillId="65" borderId="88" xfId="0" applyFill="1" applyBorder="1" applyAlignment="1">
      <alignment horizontal="center"/>
    </xf>
    <xf numFmtId="0" fontId="4" fillId="6" borderId="89" xfId="0" applyFont="1" applyFill="1" applyBorder="1"/>
    <xf numFmtId="0" fontId="4" fillId="6" borderId="90" xfId="0" applyFont="1" applyFill="1" applyBorder="1"/>
    <xf numFmtId="0" fontId="4" fillId="6" borderId="91" xfId="0" applyFont="1" applyFill="1" applyBorder="1"/>
    <xf numFmtId="0" fontId="0" fillId="67" borderId="92" xfId="0" applyFill="1" applyBorder="1" applyAlignment="1">
      <alignment horizontal="center"/>
    </xf>
    <xf numFmtId="0" fontId="0" fillId="64" borderId="92" xfId="0" applyFill="1" applyBorder="1" applyAlignment="1">
      <alignment horizontal="center"/>
    </xf>
    <xf numFmtId="0" fontId="0" fillId="66" borderId="92" xfId="0" applyFill="1" applyBorder="1" applyAlignment="1">
      <alignment horizontal="center"/>
    </xf>
    <xf numFmtId="0" fontId="0" fillId="65" borderId="92" xfId="0" applyFill="1" applyBorder="1" applyAlignment="1">
      <alignment horizontal="center"/>
    </xf>
    <xf numFmtId="0" fontId="4" fillId="6" borderId="93" xfId="0" applyFont="1" applyFill="1" applyBorder="1" applyAlignment="1">
      <alignment horizontal="center"/>
    </xf>
    <xf numFmtId="0" fontId="4" fillId="6" borderId="94" xfId="0" applyFont="1" applyFill="1" applyBorder="1"/>
    <xf numFmtId="0" fontId="0" fillId="67" borderId="95" xfId="0" applyFill="1" applyBorder="1"/>
    <xf numFmtId="0" fontId="0" fillId="64" borderId="95" xfId="0" applyFill="1" applyBorder="1"/>
    <xf numFmtId="0" fontId="0" fillId="66" borderId="95" xfId="0" applyFill="1" applyBorder="1"/>
    <xf numFmtId="0" fontId="0" fillId="65" borderId="95" xfId="0" applyFill="1" applyBorder="1"/>
    <xf numFmtId="0" fontId="0" fillId="0" borderId="96" xfId="0" applyBorder="1"/>
    <xf numFmtId="170" fontId="0" fillId="67" borderId="88" xfId="0" applyNumberFormat="1" applyFill="1" applyBorder="1"/>
    <xf numFmtId="170" fontId="0" fillId="64" borderId="88" xfId="0" applyNumberFormat="1" applyFill="1" applyBorder="1"/>
    <xf numFmtId="170" fontId="0" fillId="66" borderId="88" xfId="0" applyNumberFormat="1" applyFill="1" applyBorder="1"/>
    <xf numFmtId="170" fontId="0" fillId="65" borderId="88" xfId="0" applyNumberFormat="1" applyFill="1" applyBorder="1"/>
    <xf numFmtId="4" fontId="18" fillId="59" borderId="0" xfId="0" applyNumberFormat="1" applyFont="1" applyFill="1" applyAlignment="1">
      <alignment horizontal="center"/>
    </xf>
    <xf numFmtId="0" fontId="0" fillId="59" borderId="0" xfId="0" applyFill="1"/>
    <xf numFmtId="4" fontId="19" fillId="59" borderId="0" xfId="0" applyNumberFormat="1" applyFont="1" applyFill="1" applyAlignment="1">
      <alignment horizontal="center"/>
    </xf>
    <xf numFmtId="4" fontId="20" fillId="59" borderId="0" xfId="0" applyNumberFormat="1" applyFont="1" applyFill="1" applyAlignment="1">
      <alignment horizontal="center"/>
    </xf>
    <xf numFmtId="4" fontId="21" fillId="59" borderId="0" xfId="0" applyNumberFormat="1" applyFont="1" applyFill="1" applyAlignment="1">
      <alignment horizontal="center"/>
    </xf>
    <xf numFmtId="165" fontId="22" fillId="59" borderId="0" xfId="0" applyNumberFormat="1" applyFont="1" applyFill="1" applyAlignment="1">
      <alignment horizontal="center"/>
    </xf>
    <xf numFmtId="4" fontId="0" fillId="0" borderId="0" xfId="0" applyNumberFormat="1" applyAlignment="1">
      <alignment horizontal="right"/>
    </xf>
    <xf numFmtId="4" fontId="0" fillId="0" borderId="33" xfId="0" applyNumberFormat="1" applyBorder="1" applyAlignment="1">
      <alignment horizontal="right"/>
    </xf>
    <xf numFmtId="0" fontId="72" fillId="0" borderId="0" xfId="0" applyFont="1"/>
    <xf numFmtId="165" fontId="0" fillId="31" borderId="8" xfId="0" applyNumberFormat="1" applyFill="1" applyBorder="1"/>
    <xf numFmtId="0" fontId="73" fillId="0" borderId="0" xfId="0" applyFont="1"/>
    <xf numFmtId="0" fontId="35" fillId="59" borderId="0" xfId="0" applyFont="1" applyFill="1" applyAlignment="1">
      <alignment horizontal="center"/>
    </xf>
    <xf numFmtId="0" fontId="10" fillId="59" borderId="0" xfId="0" applyFont="1" applyFill="1" applyAlignment="1">
      <alignment horizontal="center"/>
    </xf>
    <xf numFmtId="0" fontId="4" fillId="59" borderId="0" xfId="0" applyFont="1" applyFill="1"/>
    <xf numFmtId="171" fontId="0" fillId="59" borderId="0" xfId="0" applyNumberFormat="1" applyFill="1" applyAlignment="1">
      <alignment horizontal="right"/>
    </xf>
    <xf numFmtId="0" fontId="10" fillId="59" borderId="0" xfId="0" applyFont="1" applyFill="1"/>
    <xf numFmtId="171" fontId="10" fillId="59" borderId="0" xfId="0" applyNumberFormat="1" applyFont="1" applyFill="1" applyAlignment="1">
      <alignment horizontal="right"/>
    </xf>
    <xf numFmtId="0" fontId="16" fillId="59" borderId="0" xfId="0" applyFont="1" applyFill="1" applyAlignment="1">
      <alignment horizontal="center"/>
    </xf>
    <xf numFmtId="0" fontId="4" fillId="55" borderId="29" xfId="0" applyFont="1" applyFill="1" applyBorder="1" applyAlignment="1">
      <alignment horizontal="center"/>
    </xf>
    <xf numFmtId="0" fontId="4" fillId="55" borderId="28" xfId="0" applyFont="1" applyFill="1" applyBorder="1" applyAlignment="1">
      <alignment horizontal="center"/>
    </xf>
    <xf numFmtId="0" fontId="4" fillId="55" borderId="32" xfId="0" applyFont="1" applyFill="1" applyBorder="1" applyAlignment="1">
      <alignment horizontal="center"/>
    </xf>
    <xf numFmtId="0" fontId="4" fillId="69" borderId="31" xfId="0" applyFont="1" applyFill="1" applyBorder="1" applyAlignment="1">
      <alignment horizontal="center"/>
    </xf>
    <xf numFmtId="4" fontId="4" fillId="69" borderId="27" xfId="0" applyNumberFormat="1" applyFont="1" applyFill="1" applyBorder="1" applyAlignment="1">
      <alignment horizontal="right"/>
    </xf>
    <xf numFmtId="4" fontId="4" fillId="69" borderId="34" xfId="0" applyNumberFormat="1" applyFont="1" applyFill="1" applyBorder="1" applyAlignment="1">
      <alignment horizontal="right"/>
    </xf>
    <xf numFmtId="14" fontId="0" fillId="0" borderId="28" xfId="0" applyNumberFormat="1" applyBorder="1" applyAlignment="1">
      <alignment horizontal="center"/>
    </xf>
    <xf numFmtId="168" fontId="0" fillId="0" borderId="28" xfId="0" applyNumberFormat="1" applyBorder="1"/>
    <xf numFmtId="168" fontId="4" fillId="59" borderId="0" xfId="0" applyNumberFormat="1" applyFont="1" applyFill="1"/>
    <xf numFmtId="169" fontId="0" fillId="0" borderId="8" xfId="0" applyNumberFormat="1" applyBorder="1" applyAlignment="1">
      <alignment horizontal="right"/>
    </xf>
    <xf numFmtId="169" fontId="10" fillId="37" borderId="8" xfId="0" applyNumberFormat="1" applyFont="1" applyFill="1" applyBorder="1" applyAlignment="1">
      <alignment horizontal="right"/>
    </xf>
    <xf numFmtId="8" fontId="54" fillId="29" borderId="65" xfId="0" applyNumberFormat="1" applyFont="1" applyFill="1" applyBorder="1" applyAlignment="1">
      <alignment horizontal="right" vertical="center"/>
    </xf>
    <xf numFmtId="8" fontId="39" fillId="50" borderId="62" xfId="0" applyNumberFormat="1" applyFont="1" applyFill="1" applyBorder="1" applyAlignment="1">
      <alignment horizontal="right" vertical="center"/>
    </xf>
    <xf numFmtId="8" fontId="16" fillId="11" borderId="65" xfId="0" applyNumberFormat="1" applyFont="1" applyFill="1" applyBorder="1" applyAlignment="1">
      <alignment horizontal="right" vertical="center"/>
    </xf>
    <xf numFmtId="8" fontId="59" fillId="31" borderId="65" xfId="0" applyNumberFormat="1" applyFont="1" applyFill="1" applyBorder="1" applyAlignment="1">
      <alignment horizontal="right" vertical="center"/>
    </xf>
    <xf numFmtId="4" fontId="0" fillId="67" borderId="88" xfId="0" applyNumberFormat="1" applyFill="1" applyBorder="1"/>
    <xf numFmtId="4" fontId="0" fillId="64" borderId="88" xfId="0" applyNumberFormat="1" applyFill="1" applyBorder="1"/>
    <xf numFmtId="4" fontId="0" fillId="66" borderId="88" xfId="0" applyNumberFormat="1" applyFill="1" applyBorder="1"/>
    <xf numFmtId="4" fontId="0" fillId="65" borderId="88" xfId="0" applyNumberFormat="1" applyFill="1" applyBorder="1"/>
    <xf numFmtId="4" fontId="4" fillId="6" borderId="89" xfId="0" applyNumberFormat="1" applyFont="1" applyFill="1" applyBorder="1"/>
    <xf numFmtId="40" fontId="0" fillId="67" borderId="88" xfId="0" applyNumberFormat="1" applyFill="1" applyBorder="1"/>
    <xf numFmtId="40" fontId="0" fillId="64" borderId="88" xfId="0" applyNumberFormat="1" applyFill="1" applyBorder="1"/>
    <xf numFmtId="40" fontId="0" fillId="66" borderId="88" xfId="0" applyNumberFormat="1" applyFill="1" applyBorder="1"/>
    <xf numFmtId="40" fontId="0" fillId="65" borderId="88" xfId="0" applyNumberFormat="1" applyFill="1" applyBorder="1"/>
    <xf numFmtId="40" fontId="4" fillId="6" borderId="89" xfId="0" applyNumberFormat="1" applyFont="1" applyFill="1" applyBorder="1"/>
    <xf numFmtId="0" fontId="23" fillId="5" borderId="0" xfId="0" applyFont="1" applyFill="1" applyAlignment="1">
      <alignment horizontal="center"/>
    </xf>
    <xf numFmtId="0" fontId="0" fillId="0" borderId="0" xfId="0"/>
    <xf numFmtId="0" fontId="26" fillId="68" borderId="0" xfId="0" applyFont="1" applyFill="1"/>
    <xf numFmtId="0" fontId="24" fillId="14" borderId="0" xfId="0" applyFont="1" applyFill="1"/>
    <xf numFmtId="0" fontId="27" fillId="5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9" fillId="35" borderId="0" xfId="0" applyFont="1" applyFill="1"/>
    <xf numFmtId="0" fontId="27" fillId="5" borderId="84" xfId="0" applyFont="1" applyFill="1" applyBorder="1" applyAlignment="1">
      <alignment horizontal="center" vertical="center"/>
    </xf>
    <xf numFmtId="0" fontId="27" fillId="5" borderId="85" xfId="0" applyFont="1" applyFill="1" applyBorder="1" applyAlignment="1">
      <alignment horizontal="center" vertical="center"/>
    </xf>
    <xf numFmtId="0" fontId="27" fillId="5" borderId="86" xfId="0" applyFont="1" applyFill="1" applyBorder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0" fontId="31" fillId="14" borderId="0" xfId="0" applyFont="1" applyFill="1" applyAlignment="1">
      <alignment horizontal="center" vertical="center"/>
    </xf>
    <xf numFmtId="0" fontId="52" fillId="26" borderId="0" xfId="0" applyFont="1" applyFill="1" applyAlignment="1">
      <alignment horizontal="center" vertical="center"/>
    </xf>
    <xf numFmtId="0" fontId="51" fillId="21" borderId="59" xfId="0" applyFont="1" applyFill="1" applyBorder="1" applyAlignment="1">
      <alignment horizontal="center" vertical="center"/>
    </xf>
    <xf numFmtId="0" fontId="53" fillId="61" borderId="0" xfId="0" applyFont="1" applyFill="1" applyAlignment="1">
      <alignment horizontal="center" vertical="center"/>
    </xf>
    <xf numFmtId="0" fontId="51" fillId="62" borderId="60" xfId="0" applyFont="1" applyFill="1" applyBorder="1" applyAlignment="1">
      <alignment horizontal="center" vertical="center"/>
    </xf>
    <xf numFmtId="0" fontId="35" fillId="59" borderId="0" xfId="0" applyFont="1" applyFill="1" applyAlignment="1">
      <alignment horizontal="center"/>
    </xf>
    <xf numFmtId="0" fontId="69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16" fillId="59" borderId="0" xfId="0" applyFont="1" applyFill="1" applyAlignment="1">
      <alignment horizontal="center"/>
    </xf>
    <xf numFmtId="0" fontId="11" fillId="25" borderId="0" xfId="0" applyFont="1" applyFill="1" applyAlignment="1">
      <alignment horizontal="center"/>
    </xf>
    <xf numFmtId="0" fontId="70" fillId="0" borderId="0" xfId="0" applyFont="1"/>
    <xf numFmtId="0" fontId="71" fillId="0" borderId="0" xfId="0" applyFont="1"/>
    <xf numFmtId="0" fontId="4" fillId="0" borderId="0" xfId="0" applyFont="1"/>
    <xf numFmtId="0" fontId="14" fillId="5" borderId="0" xfId="0" applyFont="1" applyFill="1" applyAlignment="1">
      <alignment horizontal="center"/>
    </xf>
    <xf numFmtId="0" fontId="15" fillId="14" borderId="0" xfId="0" applyFont="1" applyFill="1" applyAlignment="1">
      <alignment horizontal="center"/>
    </xf>
    <xf numFmtId="0" fontId="13" fillId="15" borderId="9" xfId="0" applyFont="1" applyFill="1" applyBorder="1" applyAlignment="1">
      <alignment horizontal="center"/>
    </xf>
    <xf numFmtId="0" fontId="13" fillId="15" borderId="10" xfId="0" applyFont="1" applyFill="1" applyBorder="1" applyAlignment="1">
      <alignment horizontal="center"/>
    </xf>
    <xf numFmtId="0" fontId="13" fillId="16" borderId="9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13" fillId="18" borderId="9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9" borderId="9" xfId="0" applyFont="1" applyFill="1" applyBorder="1" applyAlignment="1">
      <alignment horizontal="center"/>
    </xf>
    <xf numFmtId="0" fontId="13" fillId="19" borderId="10" xfId="0" applyFont="1" applyFill="1" applyBorder="1" applyAlignment="1">
      <alignment horizontal="center"/>
    </xf>
    <xf numFmtId="4" fontId="18" fillId="20" borderId="11" xfId="0" applyNumberFormat="1" applyFont="1" applyFill="1" applyBorder="1" applyAlignment="1">
      <alignment horizontal="center"/>
    </xf>
    <xf numFmtId="0" fontId="18" fillId="20" borderId="12" xfId="0" applyFont="1" applyFill="1" applyBorder="1" applyAlignment="1">
      <alignment horizontal="center"/>
    </xf>
    <xf numFmtId="4" fontId="19" fillId="21" borderId="11" xfId="0" applyNumberFormat="1" applyFont="1" applyFill="1" applyBorder="1" applyAlignment="1">
      <alignment horizontal="center"/>
    </xf>
    <xf numFmtId="0" fontId="19" fillId="21" borderId="12" xfId="0" applyFont="1" applyFill="1" applyBorder="1" applyAlignment="1">
      <alignment horizontal="center"/>
    </xf>
    <xf numFmtId="40" fontId="20" fillId="22" borderId="11" xfId="0" applyNumberFormat="1" applyFont="1" applyFill="1" applyBorder="1" applyAlignment="1">
      <alignment horizontal="center"/>
    </xf>
    <xf numFmtId="0" fontId="20" fillId="22" borderId="12" xfId="0" applyFont="1" applyFill="1" applyBorder="1" applyAlignment="1">
      <alignment horizontal="center"/>
    </xf>
    <xf numFmtId="4" fontId="21" fillId="23" borderId="11" xfId="0" applyNumberFormat="1" applyFont="1" applyFill="1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165" fontId="22" fillId="24" borderId="11" xfId="0" applyNumberFormat="1" applyFont="1" applyFill="1" applyBorder="1" applyAlignment="1">
      <alignment horizontal="center"/>
    </xf>
    <xf numFmtId="0" fontId="22" fillId="24" borderId="12" xfId="0" applyFont="1" applyFill="1" applyBorder="1" applyAlignment="1">
      <alignment horizontal="center"/>
    </xf>
    <xf numFmtId="0" fontId="11" fillId="41" borderId="0" xfId="0" applyFont="1" applyFill="1"/>
    <xf numFmtId="0" fontId="11" fillId="40" borderId="0" xfId="0" applyFont="1" applyFill="1"/>
    <xf numFmtId="0" fontId="11" fillId="38" borderId="0" xfId="0" applyFont="1" applyFill="1"/>
    <xf numFmtId="0" fontId="11" fillId="39" borderId="0" xfId="0" applyFont="1" applyFill="1"/>
    <xf numFmtId="0" fontId="26" fillId="5" borderId="0" xfId="0" applyFont="1" applyFill="1"/>
    <xf numFmtId="0" fontId="26" fillId="5" borderId="0" xfId="0" applyFont="1" applyFill="1" applyAlignment="1">
      <alignment horizontal="center"/>
    </xf>
    <xf numFmtId="0" fontId="32" fillId="0" borderId="0" xfId="0" applyFont="1"/>
    <xf numFmtId="0" fontId="35" fillId="11" borderId="0" xfId="0" applyFont="1" applyFill="1" applyAlignment="1">
      <alignment horizontal="center"/>
    </xf>
    <xf numFmtId="0" fontId="36" fillId="13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33" fillId="4" borderId="0" xfId="0" applyFont="1" applyFill="1" applyAlignment="1">
      <alignment horizontal="center"/>
    </xf>
    <xf numFmtId="0" fontId="17" fillId="0" borderId="0" xfId="0" applyFont="1" applyAlignment="1">
      <alignment horizontal="center"/>
    </xf>
  </cellXfs>
  <cellStyles count="3">
    <cellStyle name="Normal" xfId="0" builtinId="0"/>
    <cellStyle name="Normal 4" xfId="1" xr:uid="{2EB31BD4-EF39-43CD-88F8-47FECA35EE6C}"/>
    <cellStyle name="Vírgula" xfId="2" builtinId="3"/>
  </cellStyles>
  <dxfs count="65">
    <dxf>
      <font>
        <b/>
        <i val="0"/>
        <color rgb="FFB71C1C"/>
      </font>
    </dxf>
    <dxf>
      <font>
        <b/>
        <i val="0"/>
        <color rgb="FF1B5E20"/>
      </font>
    </dxf>
    <dxf>
      <font>
        <b/>
        <i val="0"/>
        <color rgb="FFB71C1C"/>
      </font>
    </dxf>
    <dxf>
      <font>
        <b/>
        <i val="0"/>
        <color rgb="FF1B5E20"/>
      </font>
    </dxf>
    <dxf>
      <font>
        <strike/>
        <color rgb="FF9E9E9E"/>
      </font>
      <fill>
        <patternFill patternType="solid">
          <fgColor indexed="64"/>
          <bgColor rgb="FFE0E0E0"/>
        </patternFill>
      </fill>
    </dxf>
    <dxf>
      <font>
        <color rgb="FFE74C3C"/>
      </font>
    </dxf>
    <dxf>
      <font>
        <color rgb="FF27AE60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color rgb="FF8B0000"/>
      </font>
      <fill>
        <patternFill patternType="solid">
          <fgColor indexed="64"/>
          <bgColor rgb="FFFFCCCC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ont>
        <color rgb="FF990000"/>
      </font>
      <fill>
        <patternFill patternType="solid">
          <fgColor indexed="64"/>
          <bgColor rgb="FFFFCCCC"/>
        </patternFill>
      </fill>
    </dxf>
    <dxf>
      <font>
        <color rgb="FFC00000"/>
      </font>
    </dxf>
    <dxf>
      <numFmt numFmtId="19" formatCode="dd/mm/yyyy"/>
    </dxf>
    <dxf>
      <numFmt numFmtId="30" formatCode="@"/>
    </dxf>
    <dxf>
      <numFmt numFmtId="4" formatCode="#,##0.00"/>
    </dxf>
    <dxf>
      <numFmt numFmtId="30" formatCode="@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numFmt numFmtId="4" formatCode="#,##0.00"/>
    </dxf>
    <dxf>
      <numFmt numFmtId="19" formatCode="dd/mm/yyyy"/>
      <alignment horizontal="center" textRotation="0" wrapText="0" indent="0" justifyLastLine="0" shrinkToFit="0" readingOrder="0"/>
    </dxf>
    <dxf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 style="thin">
          <color rgb="FFE0E0E0"/>
        </horizontal>
      </border>
    </dxf>
    <dxf>
      <border diagonalUp="0" diagonalDown="0">
        <left style="thin">
          <color rgb="FF2F5496"/>
        </left>
        <right style="thin">
          <color rgb="FF2F5496"/>
        </right>
        <top style="medium">
          <color rgb="FF2F5496"/>
        </top>
        <bottom style="thin">
          <color rgb="FF2F5496"/>
        </bottom>
      </border>
    </dxf>
    <dxf>
      <border>
        <bottom style="thin">
          <color rgb="FFE0E0E0"/>
        </bottom>
      </border>
    </dxf>
    <dxf>
      <font>
        <b/>
        <sz val="11"/>
        <color rgb="FFFFFFFF"/>
      </font>
      <fill>
        <patternFill patternType="solid">
          <fgColor indexed="64"/>
          <bgColor rgb="FF2E75B6"/>
        </patternFill>
      </fill>
      <alignment horizontal="center" vertical="center"/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/>
      </fill>
      <alignment horizontal="center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/>
      </fill>
      <alignment horizontal="left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9" formatCode="&quot;R$&quot;\ #,##0.00"/>
      <fill>
        <patternFill patternType="none"/>
      </fill>
      <alignment horizontal="right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/>
      </fill>
      <alignment horizontal="left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/>
      </fill>
      <alignment horizontal="left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/>
      </fill>
      <alignment horizont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d/mm/yyyy"/>
      <fill>
        <patternFill patternType="none"/>
      </fill>
      <alignment horizontal="center"/>
      <border diagonalUp="0" diagonalDown="0">
        <left/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</dxf>
    <dxf>
      <border>
        <top style="thin">
          <color rgb="FFE0E0E0"/>
        </top>
      </border>
    </dxf>
    <dxf>
      <border diagonalUp="0" diagonalDown="0">
        <left style="thin">
          <color rgb="FF1F4E79"/>
        </left>
        <right style="thin">
          <color rgb="FF1F4E79"/>
        </right>
        <top style="medium">
          <color rgb="FF1F4E79"/>
        </top>
        <bottom style="thin">
          <color rgb="FF1F4E79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none"/>
      </fill>
    </dxf>
    <dxf>
      <border>
        <bottom style="thin">
          <color rgb="FFE0E0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/>
        <bottom/>
        <vertical style="thin">
          <color rgb="FFE0E0E0"/>
        </vertical>
        <horizontal style="thin">
          <color rgb="FFE0E0E0"/>
        </horizontal>
      </border>
    </dxf>
    <dxf>
      <font>
        <b/>
        <color rgb="FFFFFFFF"/>
      </font>
      <fill>
        <patternFill patternType="solid">
          <fgColor indexed="64"/>
          <bgColor rgb="FF2196F3"/>
        </patternFill>
      </fill>
    </dxf>
    <dxf>
      <numFmt numFmtId="0" formatCode="General"/>
    </dxf>
    <dxf>
      <numFmt numFmtId="0" formatCode="General"/>
    </dxf>
    <dxf>
      <border outline="0">
        <top style="medium">
          <color rgb="FF2E75B6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2E75B6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4" formatCode="#,##0.00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dd/mm/yyyy"/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</dxf>
    <dxf>
      <numFmt numFmtId="4" formatCode="#,##0.00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dd/mm/yyyy"/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D6F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DESPESAS - Orçado vs Realizado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Orçado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DASHBOARD!$A$31:$A$42</c:f>
              <c:strCache>
                <c:ptCount val="12"/>
                <c:pt idx="0">
                  <c:v>DESPESAS</c:v>
                </c:pt>
                <c:pt idx="1">
                  <c:v>Habitação</c:v>
                </c:pt>
                <c:pt idx="2">
                  <c:v>Alimentação</c:v>
                </c:pt>
                <c:pt idx="3">
                  <c:v>Transporte</c:v>
                </c:pt>
                <c:pt idx="4">
                  <c:v>Saúde</c:v>
                </c:pt>
                <c:pt idx="5">
                  <c:v>Educação</c:v>
                </c:pt>
                <c:pt idx="6">
                  <c:v>Vestuário</c:v>
                </c:pt>
                <c:pt idx="7">
                  <c:v>Lazer</c:v>
                </c:pt>
                <c:pt idx="8">
                  <c:v>Trabalho</c:v>
                </c:pt>
                <c:pt idx="9">
                  <c:v>Caridade</c:v>
                </c:pt>
                <c:pt idx="10">
                  <c:v>Dívidas</c:v>
                </c:pt>
                <c:pt idx="11">
                  <c:v>Outros</c:v>
                </c:pt>
              </c:strCache>
            </c:strRef>
          </c:cat>
          <c:val>
            <c:numRef>
              <c:f>DASHBOARD!$B$31:$B$42</c:f>
              <c:numCache>
                <c:formatCode>#,##0.00</c:formatCode>
                <c:ptCount val="12"/>
                <c:pt idx="0">
                  <c:v>150000</c:v>
                </c:pt>
                <c:pt idx="1">
                  <c:v>57600</c:v>
                </c:pt>
                <c:pt idx="2">
                  <c:v>24000</c:v>
                </c:pt>
                <c:pt idx="3">
                  <c:v>14400</c:v>
                </c:pt>
                <c:pt idx="4">
                  <c:v>9600</c:v>
                </c:pt>
                <c:pt idx="5">
                  <c:v>18000</c:v>
                </c:pt>
                <c:pt idx="6">
                  <c:v>3600</c:v>
                </c:pt>
                <c:pt idx="7">
                  <c:v>7200</c:v>
                </c:pt>
                <c:pt idx="8">
                  <c:v>2400</c:v>
                </c:pt>
                <c:pt idx="9">
                  <c:v>1200</c:v>
                </c:pt>
                <c:pt idx="10">
                  <c:v>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0-4A5D-B356-5112AD1ED07C}"/>
            </c:ext>
          </c:extLst>
        </c:ser>
        <c:ser>
          <c:idx val="1"/>
          <c:order val="1"/>
          <c:tx>
            <c:v>Realizado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DASHBOARD!$A$31:$A$42</c:f>
              <c:strCache>
                <c:ptCount val="12"/>
                <c:pt idx="0">
                  <c:v>DESPESAS</c:v>
                </c:pt>
                <c:pt idx="1">
                  <c:v>Habitação</c:v>
                </c:pt>
                <c:pt idx="2">
                  <c:v>Alimentação</c:v>
                </c:pt>
                <c:pt idx="3">
                  <c:v>Transporte</c:v>
                </c:pt>
                <c:pt idx="4">
                  <c:v>Saúde</c:v>
                </c:pt>
                <c:pt idx="5">
                  <c:v>Educação</c:v>
                </c:pt>
                <c:pt idx="6">
                  <c:v>Vestuário</c:v>
                </c:pt>
                <c:pt idx="7">
                  <c:v>Lazer</c:v>
                </c:pt>
                <c:pt idx="8">
                  <c:v>Trabalho</c:v>
                </c:pt>
                <c:pt idx="9">
                  <c:v>Caridade</c:v>
                </c:pt>
                <c:pt idx="10">
                  <c:v>Dívidas</c:v>
                </c:pt>
                <c:pt idx="11">
                  <c:v>Outros</c:v>
                </c:pt>
              </c:strCache>
            </c:strRef>
          </c:cat>
          <c:val>
            <c:numRef>
              <c:f>DASHBOARD!$C$31:$C$42</c:f>
              <c:numCache>
                <c:formatCode>#,##0.00</c:formatCode>
                <c:ptCount val="12"/>
                <c:pt idx="0">
                  <c:v>183290.33333333334</c:v>
                </c:pt>
                <c:pt idx="1">
                  <c:v>59508.333333333336</c:v>
                </c:pt>
                <c:pt idx="2">
                  <c:v>27450</c:v>
                </c:pt>
                <c:pt idx="3">
                  <c:v>15866.666666666666</c:v>
                </c:pt>
                <c:pt idx="4">
                  <c:v>10765</c:v>
                </c:pt>
                <c:pt idx="5">
                  <c:v>18917</c:v>
                </c:pt>
                <c:pt idx="6">
                  <c:v>4971.6666666666661</c:v>
                </c:pt>
                <c:pt idx="7">
                  <c:v>10765</c:v>
                </c:pt>
                <c:pt idx="8">
                  <c:v>1150</c:v>
                </c:pt>
                <c:pt idx="9">
                  <c:v>2450</c:v>
                </c:pt>
                <c:pt idx="10">
                  <c:v>0</c:v>
                </c:pt>
                <c:pt idx="11">
                  <c:v>12300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0-4A5D-B356-5112AD1ED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0284031"/>
        <c:axId val="1430284991"/>
      </c:barChart>
      <c:catAx>
        <c:axId val="143028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284991"/>
        <c:crosses val="autoZero"/>
        <c:auto val="1"/>
        <c:lblAlgn val="ctr"/>
        <c:lblOffset val="100"/>
        <c:noMultiLvlLbl val="0"/>
      </c:catAx>
      <c:valAx>
        <c:axId val="143028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28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Receitas vs Despesas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DASHBOARD!$S$53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DASHBOARD!$R$54:$R$67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3">
                  <c:v>Dez</c:v>
                </c:pt>
              </c:strCache>
            </c:strRef>
          </c:cat>
          <c:val>
            <c:numRef>
              <c:f>DASHBOARD!$S$54:$S$67</c:f>
              <c:numCache>
                <c:formatCode>General</c:formatCode>
                <c:ptCount val="14"/>
                <c:pt idx="0">
                  <c:v>16200</c:v>
                </c:pt>
                <c:pt idx="1">
                  <c:v>15900</c:v>
                </c:pt>
                <c:pt idx="2">
                  <c:v>16400</c:v>
                </c:pt>
                <c:pt idx="3">
                  <c:v>16000</c:v>
                </c:pt>
                <c:pt idx="4">
                  <c:v>16150</c:v>
                </c:pt>
                <c:pt idx="5">
                  <c:v>15950</c:v>
                </c:pt>
                <c:pt idx="6">
                  <c:v>16000</c:v>
                </c:pt>
                <c:pt idx="7">
                  <c:v>16250</c:v>
                </c:pt>
                <c:pt idx="8">
                  <c:v>16050</c:v>
                </c:pt>
                <c:pt idx="9">
                  <c:v>16000</c:v>
                </c:pt>
                <c:pt idx="10">
                  <c:v>16500</c:v>
                </c:pt>
                <c:pt idx="11">
                  <c:v>16600</c:v>
                </c:pt>
                <c:pt idx="13">
                  <c:v>41009.449999999997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8-4921-A0F7-DE48037101BD}"/>
            </c:ext>
          </c:extLst>
        </c:ser>
        <c:ser>
          <c:idx val="1"/>
          <c:order val="1"/>
          <c:tx>
            <c:strRef>
              <c:f>DASHBOARD!$T$53</c:f>
              <c:strCache>
                <c:ptCount val="1"/>
                <c:pt idx="0">
                  <c:v>Despesas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DASHBOARD!$R$54:$R$67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3">
                  <c:v>Dez</c:v>
                </c:pt>
              </c:strCache>
            </c:strRef>
          </c:cat>
          <c:val>
            <c:numRef>
              <c:f>DASHBOARD!$T$54:$T$67</c:f>
              <c:numCache>
                <c:formatCode>General</c:formatCode>
                <c:ptCount val="14"/>
                <c:pt idx="0">
                  <c:v>12580</c:v>
                </c:pt>
                <c:pt idx="1">
                  <c:v>14366.666666666666</c:v>
                </c:pt>
                <c:pt idx="2">
                  <c:v>14073.666666666668</c:v>
                </c:pt>
                <c:pt idx="3">
                  <c:v>16333.333333333334</c:v>
                </c:pt>
                <c:pt idx="4">
                  <c:v>15681.666666666666</c:v>
                </c:pt>
                <c:pt idx="5">
                  <c:v>16428.333333333332</c:v>
                </c:pt>
                <c:pt idx="6">
                  <c:v>16341.666666666668</c:v>
                </c:pt>
                <c:pt idx="7">
                  <c:v>14511.666666666668</c:v>
                </c:pt>
                <c:pt idx="8">
                  <c:v>15540</c:v>
                </c:pt>
                <c:pt idx="9">
                  <c:v>15770</c:v>
                </c:pt>
                <c:pt idx="10">
                  <c:v>14956.666666666666</c:v>
                </c:pt>
                <c:pt idx="11">
                  <c:v>16706.666666666668</c:v>
                </c:pt>
                <c:pt idx="13">
                  <c:v>34168.559999999998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8-4921-A0F7-DE4803710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5003343"/>
        <c:axId val="1375014383"/>
      </c:barChart>
      <c:catAx>
        <c:axId val="137500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5014383"/>
        <c:crosses val="autoZero"/>
        <c:auto val="1"/>
        <c:lblAlgn val="ctr"/>
        <c:lblOffset val="100"/>
        <c:noMultiLvlLbl val="0"/>
      </c:catAx>
      <c:valAx>
        <c:axId val="13750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50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Evolução do Saldo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DASHBOARD!$Y$53</c:f>
              <c:strCache>
                <c:ptCount val="1"/>
                <c:pt idx="0">
                  <c:v>Saldo Acumulado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DASHBOARD!$X$54:$X$67</c:f>
              <c:strCache>
                <c:ptCount val="14"/>
                <c:pt idx="0">
                  <c:v>Mês</c:v>
                </c:pt>
                <c:pt idx="1">
                  <c:v>Jan</c:v>
                </c:pt>
                <c:pt idx="2">
                  <c:v>Fev</c:v>
                </c:pt>
                <c:pt idx="3">
                  <c:v>Mar</c:v>
                </c:pt>
                <c:pt idx="4">
                  <c:v>Abr</c:v>
                </c:pt>
                <c:pt idx="5">
                  <c:v>Mai</c:v>
                </c:pt>
                <c:pt idx="6">
                  <c:v>Jun</c:v>
                </c:pt>
                <c:pt idx="7">
                  <c:v>Jul</c:v>
                </c:pt>
                <c:pt idx="8">
                  <c:v>Ago</c:v>
                </c:pt>
                <c:pt idx="9">
                  <c:v>Set</c:v>
                </c:pt>
                <c:pt idx="10">
                  <c:v>Out</c:v>
                </c:pt>
                <c:pt idx="11">
                  <c:v>Nov</c:v>
                </c:pt>
                <c:pt idx="12">
                  <c:v>Dez</c:v>
                </c:pt>
                <c:pt idx="13">
                  <c:v>Dez</c:v>
                </c:pt>
              </c:strCache>
            </c:strRef>
          </c:cat>
          <c:val>
            <c:numRef>
              <c:f>DASHBOARD!$Y$54:$Y$67</c:f>
              <c:numCache>
                <c:formatCode>General</c:formatCode>
                <c:ptCount val="14"/>
                <c:pt idx="0">
                  <c:v>0</c:v>
                </c:pt>
                <c:pt idx="1">
                  <c:v>13620</c:v>
                </c:pt>
                <c:pt idx="2">
                  <c:v>15153.333333333334</c:v>
                </c:pt>
                <c:pt idx="3">
                  <c:v>17479.666666666664</c:v>
                </c:pt>
                <c:pt idx="4">
                  <c:v>17146.333333333328</c:v>
                </c:pt>
                <c:pt idx="5">
                  <c:v>17614.666666666664</c:v>
                </c:pt>
                <c:pt idx="6">
                  <c:v>17136.333333333332</c:v>
                </c:pt>
                <c:pt idx="7">
                  <c:v>16794.666666666664</c:v>
                </c:pt>
                <c:pt idx="8">
                  <c:v>18532.999999999996</c:v>
                </c:pt>
                <c:pt idx="9">
                  <c:v>19042.999999999996</c:v>
                </c:pt>
                <c:pt idx="10">
                  <c:v>19272.999999999996</c:v>
                </c:pt>
                <c:pt idx="11">
                  <c:v>20816.333333333328</c:v>
                </c:pt>
                <c:pt idx="12">
                  <c:v>20709.666666666661</c:v>
                </c:pt>
                <c:pt idx="13">
                  <c:v>41599.03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1-47D0-8A90-798EF69D6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036767"/>
        <c:axId val="1506037247"/>
      </c:areaChart>
      <c:catAx>
        <c:axId val="1506036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6037247"/>
        <c:crosses val="autoZero"/>
        <c:auto val="1"/>
        <c:lblAlgn val="ctr"/>
        <c:lblOffset val="100"/>
        <c:noMultiLvlLbl val="0"/>
      </c:catAx>
      <c:valAx>
        <c:axId val="150603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603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Aportes vs Resgates Mensais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DASHBOARD!$B$87</c:f>
              <c:strCache>
                <c:ptCount val="1"/>
                <c:pt idx="0">
                  <c:v>Aportes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DASHBOARD!$A$88:$A$99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DASHBOARD!$B$88:$B$99</c:f>
              <c:numCache>
                <c:formatCode>#,##0.00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C-4C8E-963C-15C5A046F9B3}"/>
            </c:ext>
          </c:extLst>
        </c:ser>
        <c:ser>
          <c:idx val="1"/>
          <c:order val="1"/>
          <c:tx>
            <c:strRef>
              <c:f>DASHBOARD!$C$87</c:f>
              <c:strCache>
                <c:ptCount val="1"/>
                <c:pt idx="0">
                  <c:v>Resgates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DASHBOARD!$A$88:$A$99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DASHBOARD!$C$88:$C$99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C-4C8E-963C-15C5A046F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494511"/>
        <c:axId val="1563494991"/>
      </c:barChart>
      <c:catAx>
        <c:axId val="15634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494991"/>
        <c:crosses val="autoZero"/>
        <c:auto val="1"/>
        <c:lblAlgn val="ctr"/>
        <c:lblOffset val="100"/>
        <c:noMultiLvlLbl val="0"/>
      </c:catAx>
      <c:valAx>
        <c:axId val="15634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49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Evolução do Patrimônio em Investimentos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DASHBOARD!$B$87</c:f>
              <c:strCache>
                <c:ptCount val="1"/>
                <c:pt idx="0">
                  <c:v>Aportes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DASHBOARD!$A$88:$A$99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DASHBOARD!$B$88:$B$99</c:f>
              <c:numCache>
                <c:formatCode>#,##0.00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0-4A54-ACCB-20E62C47FA05}"/>
            </c:ext>
          </c:extLst>
        </c:ser>
        <c:ser>
          <c:idx val="1"/>
          <c:order val="1"/>
          <c:tx>
            <c:strRef>
              <c:f>DASHBOARD!$C$87</c:f>
              <c:strCache>
                <c:ptCount val="1"/>
                <c:pt idx="0">
                  <c:v>Resgates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DASHBOARD!$A$88:$A$99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DASHBOARD!$C$88:$C$99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0-4A54-ACCB-20E62C47FA05}"/>
            </c:ext>
          </c:extLst>
        </c:ser>
        <c:ser>
          <c:idx val="2"/>
          <c:order val="2"/>
          <c:tx>
            <c:strRef>
              <c:f>DASHBOARD!$D$87</c:f>
              <c:strCache>
                <c:ptCount val="1"/>
                <c:pt idx="0">
                  <c:v>Saldo Mês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DASHBOARD!$A$88:$A$99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DASHBOARD!$D$88:$D$99</c:f>
              <c:numCache>
                <c:formatCode>#,##0.00</c:formatCode>
                <c:ptCount val="12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E0-4A54-ACCB-20E62C47FA05}"/>
            </c:ext>
          </c:extLst>
        </c:ser>
        <c:ser>
          <c:idx val="3"/>
          <c:order val="3"/>
          <c:tx>
            <c:strRef>
              <c:f>DASHBOARD!$E$87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DASHBOARD!$A$88:$A$99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DASHBOARD!$E$88:$E$99</c:f>
              <c:numCache>
                <c:formatCode>#,##0.00</c:formatCode>
                <c:ptCount val="12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E0-4A54-ACCB-20E62C47F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474831"/>
        <c:axId val="1563478671"/>
      </c:lineChart>
      <c:catAx>
        <c:axId val="156347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478671"/>
        <c:crosses val="autoZero"/>
        <c:auto val="1"/>
        <c:lblAlgn val="ctr"/>
        <c:lblOffset val="100"/>
        <c:noMultiLvlLbl val="0"/>
      </c:catAx>
      <c:valAx>
        <c:axId val="15634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47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Distribuição das 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A3-4CCB-86EE-63FD326C10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A3-4CCB-86EE-63FD326C10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A3-4CCB-86EE-63FD326C10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A3-4CCB-86EE-63FD326C10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A3-4CCB-86EE-63FD326C10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A3-4CCB-86EE-63FD326C10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A3-4CCB-86EE-63FD326C10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A3-4CCB-86EE-63FD326C10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A3-4CCB-86EE-63FD326C10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A3-4CCB-86EE-63FD326C10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DASHBOARD!$P$24:$P$33</c:f>
              <c:strCache>
                <c:ptCount val="10"/>
                <c:pt idx="0">
                  <c:v>Habitação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Vestuário</c:v>
                </c:pt>
                <c:pt idx="6">
                  <c:v>Lazer</c:v>
                </c:pt>
                <c:pt idx="7">
                  <c:v>Trabalho</c:v>
                </c:pt>
                <c:pt idx="8">
                  <c:v>Caridade</c:v>
                </c:pt>
                <c:pt idx="9">
                  <c:v>Outros</c:v>
                </c:pt>
              </c:strCache>
            </c:strRef>
          </c:cat>
          <c:val>
            <c:numRef>
              <c:f>DASHBOARD!$Q$24:$Q$33</c:f>
              <c:numCache>
                <c:formatCode>#,##0.00</c:formatCode>
                <c:ptCount val="10"/>
                <c:pt idx="0">
                  <c:v>59508.333333333336</c:v>
                </c:pt>
                <c:pt idx="1">
                  <c:v>27450</c:v>
                </c:pt>
                <c:pt idx="2">
                  <c:v>15866.666666666666</c:v>
                </c:pt>
                <c:pt idx="3">
                  <c:v>10765</c:v>
                </c:pt>
                <c:pt idx="4">
                  <c:v>18917</c:v>
                </c:pt>
                <c:pt idx="5">
                  <c:v>4971.6666666666661</c:v>
                </c:pt>
                <c:pt idx="6">
                  <c:v>10765</c:v>
                </c:pt>
                <c:pt idx="7">
                  <c:v>1150</c:v>
                </c:pt>
                <c:pt idx="8">
                  <c:v>2450</c:v>
                </c:pt>
                <c:pt idx="9">
                  <c:v>12300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9-4767-937C-107CD1CDA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Distribuição das Receitas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57-4813-B4AC-DE1070A3A3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57-4813-B4AC-DE1070A3A3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57-4813-B4AC-DE1070A3A37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57-4813-B4AC-DE1070A3A37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57-4813-B4AC-DE1070A3A37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757-4813-B4AC-DE1070A3A37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757-4813-B4AC-DE1070A3A37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757-4813-B4AC-DE1070A3A37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757-4813-B4AC-DE1070A3A37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757-4813-B4AC-DE1070A3A3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DASHBOARD!$A$25:$A$28</c:f>
              <c:strCache>
                <c:ptCount val="4"/>
                <c:pt idx="0">
                  <c:v>Salário</c:v>
                </c:pt>
                <c:pt idx="1">
                  <c:v>Benefício</c:v>
                </c:pt>
                <c:pt idx="2">
                  <c:v>Prestação Serviço Extra</c:v>
                </c:pt>
                <c:pt idx="3">
                  <c:v>Convênios</c:v>
                </c:pt>
              </c:strCache>
            </c:strRef>
          </c:cat>
          <c:val>
            <c:numRef>
              <c:f>DASHBOARD!$B$25:$B$28</c:f>
              <c:numCache>
                <c:formatCode>#,##0.00</c:formatCode>
                <c:ptCount val="4"/>
                <c:pt idx="0">
                  <c:v>180000</c:v>
                </c:pt>
                <c:pt idx="1">
                  <c:v>6000</c:v>
                </c:pt>
                <c:pt idx="2">
                  <c:v>6000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757-4813-B4AC-DE1070A3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254001</xdr:colOff>
      <xdr:row>20</xdr:row>
      <xdr:rowOff>177800</xdr:rowOff>
    </xdr:from>
    <xdr:to>
      <xdr:col>13</xdr:col>
      <xdr:colOff>592666</xdr:colOff>
      <xdr:row>42</xdr:row>
      <xdr:rowOff>84667</xdr:rowOff>
    </xdr:to>
    <xdr:graphicFrame macro="">
      <xdr:nvGraphicFramePr>
        <xdr:cNvPr id="13" name="Grafico_OrcadoRealizado">
          <a:extLst>
            <a:ext uri="{FF2B5EF4-FFF2-40B4-BE49-F238E27FC236}">
              <a16:creationId xmlns:a16="http://schemas.microsoft.com/office/drawing/2014/main" id="{0DA83405-D4F6-CF24-D661-7B862B64C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203200</xdr:colOff>
      <xdr:row>7</xdr:row>
      <xdr:rowOff>186267</xdr:rowOff>
    </xdr:from>
    <xdr:to>
      <xdr:col>13</xdr:col>
      <xdr:colOff>2226733</xdr:colOff>
      <xdr:row>20</xdr:row>
      <xdr:rowOff>8467</xdr:rowOff>
    </xdr:to>
    <xdr:graphicFrame macro="">
      <xdr:nvGraphicFramePr>
        <xdr:cNvPr id="14" name="Grafico_ReceitasDespesas">
          <a:extLst>
            <a:ext uri="{FF2B5EF4-FFF2-40B4-BE49-F238E27FC236}">
              <a16:creationId xmlns:a16="http://schemas.microsoft.com/office/drawing/2014/main" id="{DBA00656-2890-96CA-C24B-565C6A8BE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7</xdr:row>
      <xdr:rowOff>152400</xdr:rowOff>
    </xdr:from>
    <xdr:to>
      <xdr:col>5</xdr:col>
      <xdr:colOff>296333</xdr:colOff>
      <xdr:row>19</xdr:row>
      <xdr:rowOff>152402</xdr:rowOff>
    </xdr:to>
    <xdr:graphicFrame macro="">
      <xdr:nvGraphicFramePr>
        <xdr:cNvPr id="16" name="Grafico_SaldoAcumulado">
          <a:extLst>
            <a:ext uri="{FF2B5EF4-FFF2-40B4-BE49-F238E27FC236}">
              <a16:creationId xmlns:a16="http://schemas.microsoft.com/office/drawing/2014/main" id="{6CFC2506-34B5-2F1F-CDA6-349C2E2FF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287867</xdr:colOff>
      <xdr:row>66</xdr:row>
      <xdr:rowOff>118534</xdr:rowOff>
    </xdr:from>
    <xdr:to>
      <xdr:col>14</xdr:col>
      <xdr:colOff>287867</xdr:colOff>
      <xdr:row>82</xdr:row>
      <xdr:rowOff>118534</xdr:rowOff>
    </xdr:to>
    <xdr:graphicFrame macro="">
      <xdr:nvGraphicFramePr>
        <xdr:cNvPr id="17" name="Grafico_AportesResgates">
          <a:extLst>
            <a:ext uri="{FF2B5EF4-FFF2-40B4-BE49-F238E27FC236}">
              <a16:creationId xmlns:a16="http://schemas.microsoft.com/office/drawing/2014/main" id="{DADA1FE4-7F8D-0840-6899-B7F2A6C2E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143934</xdr:colOff>
      <xdr:row>66</xdr:row>
      <xdr:rowOff>47412</xdr:rowOff>
    </xdr:from>
    <xdr:to>
      <xdr:col>7</xdr:col>
      <xdr:colOff>143934</xdr:colOff>
      <xdr:row>82</xdr:row>
      <xdr:rowOff>165945</xdr:rowOff>
    </xdr:to>
    <xdr:graphicFrame macro="">
      <xdr:nvGraphicFramePr>
        <xdr:cNvPr id="19" name="Grafico_InvestimentosAcumulado">
          <a:extLst>
            <a:ext uri="{FF2B5EF4-FFF2-40B4-BE49-F238E27FC236}">
              <a16:creationId xmlns:a16="http://schemas.microsoft.com/office/drawing/2014/main" id="{B9F4CF9D-0A84-CD8E-709C-DC7E8BEF3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96520</xdr:colOff>
      <xdr:row>43</xdr:row>
      <xdr:rowOff>104987</xdr:rowOff>
    </xdr:from>
    <xdr:to>
      <xdr:col>4</xdr:col>
      <xdr:colOff>1253067</xdr:colOff>
      <xdr:row>63</xdr:row>
      <xdr:rowOff>101600</xdr:rowOff>
    </xdr:to>
    <xdr:graphicFrame macro="">
      <xdr:nvGraphicFramePr>
        <xdr:cNvPr id="23" name="Grafico_Pizza_Despesas">
          <a:extLst>
            <a:ext uri="{FF2B5EF4-FFF2-40B4-BE49-F238E27FC236}">
              <a16:creationId xmlns:a16="http://schemas.microsoft.com/office/drawing/2014/main" id="{DBC8B3E5-FF0E-5604-6C70-E9535A0A3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414866</xdr:colOff>
      <xdr:row>43</xdr:row>
      <xdr:rowOff>16934</xdr:rowOff>
    </xdr:from>
    <xdr:to>
      <xdr:col>13</xdr:col>
      <xdr:colOff>55879</xdr:colOff>
      <xdr:row>63</xdr:row>
      <xdr:rowOff>13547</xdr:rowOff>
    </xdr:to>
    <xdr:graphicFrame macro="">
      <xdr:nvGraphicFramePr>
        <xdr:cNvPr id="24" name="Grafico_Pizza_Despesas">
          <a:extLst>
            <a:ext uri="{FF2B5EF4-FFF2-40B4-BE49-F238E27FC236}">
              <a16:creationId xmlns:a16="http://schemas.microsoft.com/office/drawing/2014/main" id="{D66B7700-805F-432C-9BEF-9BEED4FB2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4B11DFB-5CA8-4E76-88CB-9D46A4613A34}" name="tb_receitas" displayName="tb_receitas" ref="A3:F302" totalsRowShown="0" headerRowDxfId="64" dataDxfId="63">
  <autoFilter ref="A3:F302" xr:uid="{54B11DFB-5CA8-4E76-88CB-9D46A4613A34}"/>
  <tableColumns count="6">
    <tableColumn id="1" xr3:uid="{C0BAAB1C-2B10-4888-8BD6-2AB26BA59B78}" name="📅 Data" dataDxfId="62"/>
    <tableColumn id="2" xr3:uid="{092957E2-D4F8-4646-8FB0-DF2DACACA1FA}" name="📂 Categoria" dataDxfId="61"/>
    <tableColumn id="3" xr3:uid="{1E4812FB-4325-41E7-B27A-10DFAA110A83}" name="📋 Subcategoria" dataDxfId="60"/>
    <tableColumn id="4" xr3:uid="{2B070122-7177-4649-A10E-64BD938EDBAF}" name="💵 Valor" dataDxfId="59"/>
    <tableColumn id="7" xr3:uid="{DCB68571-5868-4962-BAA8-93E032C50624}" name="📝 Observação" dataDxfId="58"/>
    <tableColumn id="9" xr3:uid="{AD8101E5-DA0D-4290-B980-359B126CF9D0}" name="📊 Status" dataDxfId="5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0B5C73-45D3-4A51-9416-6972FC6982CE}" name="tbDespesas" displayName="tbDespesas" ref="A3:G502" totalsRowShown="0" headerRowDxfId="56" dataDxfId="55">
  <autoFilter ref="A3:G502" xr:uid="{0C0B5C73-45D3-4A51-9416-6972FC6982CE}"/>
  <tableColumns count="7">
    <tableColumn id="1" xr3:uid="{9DD2ECC9-2D3A-499C-A611-0C73B9ADB125}" name="📅 Data" dataDxfId="54"/>
    <tableColumn id="2" xr3:uid="{C7F2255C-8FEF-4EC9-8C2C-3EAA789FB3E3}" name="📂 Categoria" dataDxfId="53"/>
    <tableColumn id="3" xr3:uid="{1FD29F60-3A7E-4ABC-AD91-532C81853250}" name="📋 Subcategoria" dataDxfId="52"/>
    <tableColumn id="4" xr3:uid="{625A0515-C179-4E94-A2D3-6379A8C1534A}" name="💰 Valor" dataDxfId="51"/>
    <tableColumn id="7" xr3:uid="{CA463C06-2C38-4C43-BEF0-B847B19758D9}" name="📝 Observação" dataDxfId="50"/>
    <tableColumn id="8" xr3:uid="{69C1127D-674E-42C7-9721-CBED00EC37A7}" name="Categoria_Aux" dataDxfId="49">
      <calculatedColumnFormula>IF(B4="","",SUBSTITUTE(SUBSTITUTE(SUBSTITUTE(SUBSTITUTE(SUBSTITUTE(SUBSTITUTE(SUBSTITUTE(SUBSTITUTE(SUBSTITUTE(SUBSTITUTE(SUBSTITUTE(B4,"á","a"),"é","e"),"í","i"),"ó","o"),"ú","u"),"ã","a"),"õ","o"),"ê","e"),"ç","c"),"Ú","U")," ",""))</calculatedColumnFormula>
    </tableColumn>
    <tableColumn id="9" xr3:uid="{922D1471-0380-4ED4-8475-148AB00C8EEA}" name="📊 Status" dataDxfId="48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4F54D5-2F88-4EED-9982-1A74DC688708}" name="tbCartoes" displayName="tbCartoes" ref="A3:I1004" totalsRowShown="0" headerRowDxfId="47" tableBorderDxfId="46">
  <autoFilter ref="A3:I1004" xr:uid="{064F54D5-2F88-4EED-9982-1A74DC688708}"/>
  <sortState xmlns:xlrd2="http://schemas.microsoft.com/office/spreadsheetml/2017/richdata2" ref="A505:I592">
    <sortCondition ref="A3:A1004"/>
  </sortState>
  <tableColumns count="9">
    <tableColumn id="1" xr3:uid="{CE3528B0-7471-4F19-BDD3-FC85B30690FC}" name="📅 Data Compra"/>
    <tableColumn id="2" xr3:uid="{40935258-CA4F-44B2-9E3E-9C39834E7A38}" name="📂 Categoria"/>
    <tableColumn id="3" xr3:uid="{3147D16D-CBF1-477C-ABBD-3535C14820C9}" name="📋 Subcategoria"/>
    <tableColumn id="4" xr3:uid="{25985842-CC2E-40C6-8AF8-99D2393A1437}" name="📝 Descrição"/>
    <tableColumn id="5" xr3:uid="{415D9089-4A31-4C12-833A-9D89EEC3A1CE}" name="💳 Valor Total"/>
    <tableColumn id="6" xr3:uid="{0412860F-624C-4986-AF9A-903C987126E7}" name="🔢 Parcelas"/>
    <tableColumn id="7" xr3:uid="{B0FBCEEE-B099-41E8-942F-ABE6D7512491}" name="💳 Cartão"/>
    <tableColumn id="8" xr3:uid="{66E2D3CE-9085-427D-8A10-FCCAC7458F21}" name="Categoria_Aux" dataDxfId="45">
      <calculatedColumnFormula>IF(tbCartoes[[#This Row],[📂 Categoria]]="","",SUBSTITUTE(tbCartoes[[#This Row],[📂 Categoria]]," ","_"))</calculatedColumnFormula>
    </tableColumn>
    <tableColumn id="9" xr3:uid="{5040B22F-05A6-4FE2-983D-2BC6F872715F}" name="📊 Status_Parcelas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18C8B8-00C7-4893-862D-782099F00523}" name="tbConfigCartoes" displayName="tbConfigCartoes" ref="A3:D6" totalsRowShown="0" headerRowDxfId="43">
  <autoFilter ref="A3:D6" xr:uid="{7818C8B8-00C7-4893-862D-782099F00523}"/>
  <tableColumns count="4">
    <tableColumn id="1" xr3:uid="{38CCDD69-42F1-408A-9B09-F161F53F093D}" name="Cartão"/>
    <tableColumn id="2" xr3:uid="{F7DA7E77-26FA-48E8-B0A6-B07E87CA0B13}" name="Nome_Sistema"/>
    <tableColumn id="3" xr3:uid="{3FBEFBD9-4D2C-4A34-B917-49F606CD2BD6}" name="Dia_Corte"/>
    <tableColumn id="4" xr3:uid="{0448A237-CCEB-45FE-8D76-D26E30E6E8D4}" name="Dia_Venciment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32B634-19C8-4569-9513-CAB7F1098643}" name="tbPrevisoes" displayName="tbPrevisoes" ref="A4:G326" totalsRowShown="0" headerRowDxfId="42" dataDxfId="40" headerRowBorderDxfId="41" tableBorderDxfId="39" totalsRowBorderDxfId="38">
  <autoFilter ref="A4:G326" xr:uid="{9D32B634-19C8-4569-9513-CAB7F1098643}"/>
  <tableColumns count="7">
    <tableColumn id="1" xr3:uid="{BD995317-4A5D-4910-9FBF-906B2263808A}" name="📅 DATA" dataDxfId="37"/>
    <tableColumn id="2" xr3:uid="{85B105A7-5499-42BD-A481-0B00AEB5F073}" name="📂 TIPO" dataDxfId="36"/>
    <tableColumn id="3" xr3:uid="{FF36DC4A-7751-4AEC-ACF1-F67831A7B3E6}" name="📁 CATEGORIA" dataDxfId="35"/>
    <tableColumn id="4" xr3:uid="{C074A9C0-62C6-4CFD-BED1-1565C1290DC9}" name="📋 SUBCATEGORIA" dataDxfId="34"/>
    <tableColumn id="5" xr3:uid="{81C80973-12ED-434D-9889-9957A0BABAB4}" name="💰 VALOR" dataDxfId="33"/>
    <tableColumn id="6" xr3:uid="{61E70AD5-969C-487B-BE8F-8CBFA706AD51}" name="📝 DESCRIÇÃO" dataDxfId="32"/>
    <tableColumn id="7" xr3:uid="{8D79BF90-D5DE-497A-848C-A4084F328E7A}" name="✅ STATUS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_investimentos" displayName="tb_investimentos" ref="A3:F39" headerRowDxfId="30" totalsRowDxfId="27" headerRowBorderDxfId="29" tableBorderDxfId="28" dataCellStyle="Normal">
  <autoFilter ref="A3:F39" xr:uid="{00000000-0009-0000-0100-000008000000}"/>
  <tableColumns count="6">
    <tableColumn id="1" xr3:uid="{00000000-0010-0000-0700-000001000000}" name="Data" dataDxfId="26" dataCellStyle="Normal"/>
    <tableColumn id="2" xr3:uid="{00000000-0010-0000-0700-000002000000}" name="Ativo" dataCellStyle="Normal"/>
    <tableColumn id="3" xr3:uid="{00000000-0010-0000-0700-000003000000}" name="Tipo_Ativo" dataCellStyle="Normal"/>
    <tableColumn id="4" xr3:uid="{00000000-0010-0000-0700-000004000000}" name="Movimento" dataCellStyle="Normal"/>
    <tableColumn id="5" xr3:uid="{00000000-0010-0000-0700-000005000000}" name="Valor" dataDxfId="25" dataCellStyle="Normal"/>
    <tableColumn id="6" xr3:uid="{00000000-0010-0000-0700-000006000000}" name="Obs" dataCellStyle="Norm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cad_ativos" displayName="t_cad_ativos" ref="A1:C9">
  <autoFilter ref="A1:C9" xr:uid="{00000000-0009-0000-0100-000003000000}"/>
  <tableColumns count="3">
    <tableColumn id="1" xr3:uid="{00000000-0010-0000-0200-000001000000}" name="Tipo_Ativo"/>
    <tableColumn id="2" xr3:uid="{00000000-0010-0000-0200-000002000000}" name="Classe"/>
    <tableColumn id="3" xr3:uid="{00000000-0010-0000-0200-000003000000}" name="Categori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ategorias" displayName="tbCategorias" ref="A1:C64">
  <autoFilter ref="A1:C64" xr:uid="{00000000-0009-0000-0100-000001000000}"/>
  <tableColumns count="3">
    <tableColumn id="1" xr3:uid="{00000000-0010-0000-0000-000001000000}" name="Tipo"/>
    <tableColumn id="2" xr3:uid="{00000000-0010-0000-0000-000002000000}" name="Categoria"/>
    <tableColumn id="3" xr3:uid="{00000000-0010-0000-0000-000003000000}" name="Subcategori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795C53-ADAB-4AD9-805D-5284418AD7D9}" name="tbCalendario" displayName="tbCalendario" ref="A1:G2959" totalsRowShown="0">
  <autoFilter ref="A1:G2959" xr:uid="{89795C53-ADAB-4AD9-805D-5284418AD7D9}"/>
  <tableColumns count="7">
    <tableColumn id="1" xr3:uid="{F6CC73B1-8C52-442E-8953-7D7F54AEE59C}" name="Data" dataDxfId="24">
      <calculatedColumnFormula>A1+1</calculatedColumnFormula>
    </tableColumn>
    <tableColumn id="2" xr3:uid="{E0B856FC-8FD9-43DD-9E17-218CBEC286B0}" name="Ano "/>
    <tableColumn id="3" xr3:uid="{768A0B28-F45A-4690-BC6C-54F27CFC5257}" name="Mês"/>
    <tableColumn id="4" xr3:uid="{7AAD9D30-BA4E-4D2F-81D9-E160067258B7}" name="Ano_Mês"/>
    <tableColumn id="5" xr3:uid="{1AF69F15-FC5F-4E85-8856-57F132AADC0D}" name="Dia"/>
    <tableColumn id="6" xr3:uid="{DFF3E2CA-B332-432B-BD19-CE4FF304EE89}" name="Semana"/>
    <tableColumn id="7" xr3:uid="{E02EC14F-726A-4F02-A4F5-F593569383A9}" name="Trimestr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1CFE47-9DEC-4BD6-8D5E-CCFB4E4CC25D}" name="tbParcelas6" displayName="tbParcelas6" ref="A1:H786" totalsRowShown="0">
  <autoFilter ref="A1:H786" xr:uid="{76341061-9704-42D6-B9EC-751AA41C7FD3}"/>
  <tableColumns count="8">
    <tableColumn id="1" xr3:uid="{C0D4824F-1E51-45B7-ABBD-ED451E57B291}" name="ID_Compra"/>
    <tableColumn id="2" xr3:uid="{091C27A5-D89F-4D72-92E8-67C486F4220C}" name="Data_Compra" dataDxfId="23"/>
    <tableColumn id="3" xr3:uid="{3CBEF359-8A50-4344-9334-61EEB6544E66}" name="Descrição"/>
    <tableColumn id="4" xr3:uid="{FABF832E-ED6A-42BB-91BF-4387F2CA7DE7}" name="Parcela" dataDxfId="22"/>
    <tableColumn id="5" xr3:uid="{B3EE7CEC-A8C4-4420-98FE-622BEC7B12F5}" name="Valor_Parcela" dataDxfId="21"/>
    <tableColumn id="6" xr3:uid="{4F6D89CF-425A-422C-AC7C-99BFAF868EC8}" name="Fatura_MesAno" dataDxfId="20"/>
    <tableColumn id="7" xr3:uid="{C2B11940-969A-4255-AFCB-167C36C1496B}" name="Data_Vencimento" dataDxfId="19"/>
    <tableColumn id="8" xr3:uid="{4E124B48-D7F5-4460-B853-710FECE8FCED}" name="Car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A983-86E7-419E-A96E-3898B94AF971}">
  <dimension ref="A1:H115"/>
  <sheetViews>
    <sheetView showGridLines="0" tabSelected="1" workbookViewId="0">
      <pane ySplit="2" topLeftCell="A3" activePane="bottomLeft" state="frozen"/>
      <selection pane="bottomLeft" activeCell="A11" sqref="A11"/>
    </sheetView>
  </sheetViews>
  <sheetFormatPr defaultRowHeight="14.4"/>
  <cols>
    <col min="1" max="1" width="37" customWidth="1"/>
    <col min="2" max="2" width="46.33203125" customWidth="1"/>
    <col min="3" max="3" width="40.77734375" customWidth="1"/>
    <col min="4" max="4" width="33.33203125" customWidth="1"/>
  </cols>
  <sheetData>
    <row r="1" spans="1:8" ht="34.950000000000003" customHeight="1">
      <c r="A1" s="349" t="s">
        <v>198</v>
      </c>
      <c r="B1" s="346"/>
      <c r="C1" s="346"/>
      <c r="D1" s="346"/>
      <c r="E1" s="346"/>
      <c r="F1" s="346"/>
      <c r="G1" s="346"/>
      <c r="H1" s="346"/>
    </row>
    <row r="2" spans="1:8">
      <c r="A2" s="350" t="s">
        <v>406</v>
      </c>
      <c r="B2" s="346"/>
      <c r="C2" s="346"/>
      <c r="D2" s="346"/>
      <c r="E2" s="346"/>
      <c r="F2" s="346"/>
      <c r="G2" s="346"/>
      <c r="H2" s="346"/>
    </row>
    <row r="4" spans="1:8" ht="18">
      <c r="A4" s="348" t="s">
        <v>199</v>
      </c>
      <c r="B4" s="346"/>
      <c r="C4" s="346"/>
      <c r="D4" s="346"/>
      <c r="E4" s="346"/>
      <c r="F4" s="346"/>
      <c r="G4" s="346"/>
      <c r="H4" s="346"/>
    </row>
    <row r="6" spans="1:8">
      <c r="A6" s="48" t="s">
        <v>201</v>
      </c>
      <c r="B6" s="48" t="s">
        <v>202</v>
      </c>
      <c r="C6" s="48" t="s">
        <v>203</v>
      </c>
      <c r="D6" s="48" t="s">
        <v>204</v>
      </c>
    </row>
    <row r="7" spans="1:8">
      <c r="A7" s="16" t="s">
        <v>205</v>
      </c>
      <c r="B7" s="16" t="s">
        <v>206</v>
      </c>
      <c r="C7" s="16" t="s">
        <v>351</v>
      </c>
      <c r="D7" s="16" t="s">
        <v>352</v>
      </c>
    </row>
    <row r="8" spans="1:8">
      <c r="A8" s="20" t="s">
        <v>207</v>
      </c>
      <c r="B8" s="20" t="s">
        <v>208</v>
      </c>
      <c r="C8" s="20" t="s">
        <v>353</v>
      </c>
      <c r="D8" s="20" t="s">
        <v>209</v>
      </c>
    </row>
    <row r="9" spans="1:8">
      <c r="A9" s="16" t="s">
        <v>210</v>
      </c>
      <c r="B9" s="16" t="s">
        <v>211</v>
      </c>
      <c r="C9" s="16" t="s">
        <v>212</v>
      </c>
      <c r="D9" s="16" t="s">
        <v>213</v>
      </c>
    </row>
    <row r="10" spans="1:8">
      <c r="A10" s="20" t="s">
        <v>214</v>
      </c>
      <c r="B10" s="20" t="s">
        <v>215</v>
      </c>
      <c r="C10" s="20" t="s">
        <v>216</v>
      </c>
      <c r="D10" s="20" t="s">
        <v>217</v>
      </c>
    </row>
    <row r="12" spans="1:8" ht="18">
      <c r="A12" s="348" t="s">
        <v>200</v>
      </c>
      <c r="B12" s="346"/>
      <c r="C12" s="346"/>
      <c r="D12" s="346"/>
    </row>
    <row r="14" spans="1:8">
      <c r="A14" t="s">
        <v>356</v>
      </c>
    </row>
    <row r="15" spans="1:8">
      <c r="A15" t="s">
        <v>357</v>
      </c>
    </row>
    <row r="16" spans="1:8">
      <c r="A16" t="s">
        <v>358</v>
      </c>
    </row>
    <row r="17" spans="1:4">
      <c r="A17" t="s">
        <v>359</v>
      </c>
    </row>
    <row r="18" spans="1:4">
      <c r="A18" t="s">
        <v>360</v>
      </c>
    </row>
    <row r="19" spans="1:4">
      <c r="A19" t="s">
        <v>361</v>
      </c>
    </row>
    <row r="20" spans="1:4">
      <c r="A20" s="351" t="s">
        <v>362</v>
      </c>
      <c r="B20" s="346"/>
      <c r="C20" s="346"/>
      <c r="D20" s="346"/>
    </row>
    <row r="22" spans="1:4" ht="18">
      <c r="A22" s="348" t="s">
        <v>222</v>
      </c>
      <c r="B22" s="346"/>
      <c r="C22" s="346"/>
      <c r="D22" s="346"/>
    </row>
    <row r="24" spans="1:4">
      <c r="A24" s="49" t="s">
        <v>201</v>
      </c>
      <c r="B24" s="49" t="s">
        <v>223</v>
      </c>
      <c r="C24" s="49" t="s">
        <v>224</v>
      </c>
    </row>
    <row r="25" spans="1:4">
      <c r="A25" s="16" t="s">
        <v>225</v>
      </c>
      <c r="B25" s="16" t="s">
        <v>226</v>
      </c>
      <c r="C25" s="16" t="s">
        <v>227</v>
      </c>
    </row>
    <row r="26" spans="1:4">
      <c r="A26" s="20" t="s">
        <v>228</v>
      </c>
      <c r="B26" s="20" t="s">
        <v>229</v>
      </c>
      <c r="C26" s="20" t="s">
        <v>230</v>
      </c>
    </row>
    <row r="27" spans="1:4">
      <c r="A27" s="16" t="s">
        <v>231</v>
      </c>
      <c r="B27" s="16" t="s">
        <v>374</v>
      </c>
      <c r="C27" s="16" t="s">
        <v>378</v>
      </c>
    </row>
    <row r="28" spans="1:4">
      <c r="A28" s="20"/>
      <c r="B28" s="20"/>
      <c r="C28" s="20"/>
    </row>
    <row r="29" spans="1:4" ht="18">
      <c r="A29" s="179" t="s">
        <v>218</v>
      </c>
    </row>
    <row r="31" spans="1:4">
      <c r="A31" t="s">
        <v>219</v>
      </c>
    </row>
    <row r="32" spans="1:4">
      <c r="A32" t="s">
        <v>384</v>
      </c>
    </row>
    <row r="33" spans="1:1">
      <c r="A33" t="s">
        <v>220</v>
      </c>
    </row>
    <row r="34" spans="1:1">
      <c r="A34" t="s">
        <v>221</v>
      </c>
    </row>
    <row r="36" spans="1:1" ht="15.6">
      <c r="A36" s="9" t="s">
        <v>302</v>
      </c>
    </row>
    <row r="37" spans="1:1" ht="18">
      <c r="A37" s="179"/>
    </row>
    <row r="38" spans="1:1">
      <c r="A38" t="s">
        <v>303</v>
      </c>
    </row>
    <row r="39" spans="1:1">
      <c r="A39" t="s">
        <v>304</v>
      </c>
    </row>
    <row r="41" spans="1:1">
      <c r="A41" t="s">
        <v>305</v>
      </c>
    </row>
    <row r="42" spans="1:1" ht="15.6">
      <c r="A42" s="177" t="s">
        <v>385</v>
      </c>
    </row>
    <row r="43" spans="1:1">
      <c r="A43" t="s">
        <v>306</v>
      </c>
    </row>
    <row r="44" spans="1:1">
      <c r="A44" t="s">
        <v>307</v>
      </c>
    </row>
    <row r="45" spans="1:1">
      <c r="A45" t="s">
        <v>308</v>
      </c>
    </row>
    <row r="46" spans="1:1">
      <c r="A46" s="10" t="s">
        <v>309</v>
      </c>
    </row>
    <row r="47" spans="1:1">
      <c r="A47" t="s">
        <v>284</v>
      </c>
    </row>
    <row r="48" spans="1:1">
      <c r="A48" t="s">
        <v>285</v>
      </c>
    </row>
    <row r="49" spans="1:1">
      <c r="A49" t="s">
        <v>286</v>
      </c>
    </row>
    <row r="50" spans="1:1">
      <c r="A50" s="10" t="s">
        <v>287</v>
      </c>
    </row>
    <row r="52" spans="1:1">
      <c r="A52" t="s">
        <v>288</v>
      </c>
    </row>
    <row r="53" spans="1:1">
      <c r="A53" t="s">
        <v>289</v>
      </c>
    </row>
    <row r="54" spans="1:1">
      <c r="A54" t="s">
        <v>290</v>
      </c>
    </row>
    <row r="55" spans="1:1">
      <c r="A55" t="s">
        <v>291</v>
      </c>
    </row>
    <row r="57" spans="1:1">
      <c r="A57" s="10" t="s">
        <v>280</v>
      </c>
    </row>
    <row r="58" spans="1:1">
      <c r="A58" t="s">
        <v>281</v>
      </c>
    </row>
    <row r="59" spans="1:1">
      <c r="A59" t="s">
        <v>282</v>
      </c>
    </row>
    <row r="61" spans="1:1">
      <c r="A61" t="s">
        <v>407</v>
      </c>
    </row>
    <row r="63" spans="1:1">
      <c r="A63" t="s">
        <v>408</v>
      </c>
    </row>
    <row r="64" spans="1:1">
      <c r="A64" t="s">
        <v>409</v>
      </c>
    </row>
    <row r="65" spans="1:1">
      <c r="A65" t="s">
        <v>410</v>
      </c>
    </row>
    <row r="101" spans="1:1" ht="18">
      <c r="A101" s="178" t="s">
        <v>292</v>
      </c>
    </row>
    <row r="103" spans="1:1">
      <c r="A103" s="10" t="s">
        <v>293</v>
      </c>
    </row>
    <row r="105" spans="1:1">
      <c r="A105" t="s">
        <v>386</v>
      </c>
    </row>
    <row r="106" spans="1:1">
      <c r="A106" t="s">
        <v>294</v>
      </c>
    </row>
    <row r="107" spans="1:1">
      <c r="A107" t="s">
        <v>295</v>
      </c>
    </row>
    <row r="108" spans="1:1">
      <c r="A108" t="s">
        <v>296</v>
      </c>
    </row>
    <row r="109" spans="1:1">
      <c r="A109" t="s">
        <v>297</v>
      </c>
    </row>
    <row r="111" spans="1:1">
      <c r="A111" s="106" t="s">
        <v>298</v>
      </c>
    </row>
    <row r="112" spans="1:1">
      <c r="A112" t="s">
        <v>387</v>
      </c>
    </row>
    <row r="113" spans="1:1">
      <c r="A113" t="s">
        <v>299</v>
      </c>
    </row>
    <row r="114" spans="1:1">
      <c r="A114" t="s">
        <v>300</v>
      </c>
    </row>
    <row r="115" spans="1:1">
      <c r="A115" t="s">
        <v>301</v>
      </c>
    </row>
  </sheetData>
  <mergeCells count="6">
    <mergeCell ref="A22:D22"/>
    <mergeCell ref="A1:H1"/>
    <mergeCell ref="A2:H2"/>
    <mergeCell ref="A4:H4"/>
    <mergeCell ref="A12:D12"/>
    <mergeCell ref="A20:D2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0DFC-AEA3-4ED7-8779-E3C94FE82BA4}">
  <sheetPr>
    <tabColor theme="8" tint="-0.249977111117893"/>
    <pageSetUpPr fitToPage="1"/>
  </sheetPr>
  <dimension ref="A1:R33"/>
  <sheetViews>
    <sheetView showGridLines="0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B7" sqref="B7"/>
    </sheetView>
  </sheetViews>
  <sheetFormatPr defaultRowHeight="14.4"/>
  <cols>
    <col min="1" max="1" width="37" customWidth="1"/>
    <col min="2" max="2" width="18.5546875" customWidth="1"/>
    <col min="3" max="14" width="15.77734375" customWidth="1"/>
    <col min="15" max="16" width="18.5546875" customWidth="1"/>
    <col min="17" max="18" width="11.109375" customWidth="1"/>
  </cols>
  <sheetData>
    <row r="1" spans="1:18" ht="25.05" customHeight="1" thickBot="1">
      <c r="A1" s="352" t="s">
        <v>416</v>
      </c>
      <c r="B1" s="353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4"/>
      <c r="Q1" s="267"/>
      <c r="R1" s="268"/>
    </row>
    <row r="2" spans="1:18" ht="25.05" customHeight="1" thickBot="1">
      <c r="A2" s="269" t="s">
        <v>350</v>
      </c>
      <c r="B2" s="264" t="s">
        <v>347</v>
      </c>
      <c r="C2" s="265">
        <f>DATE($R$2,1,1)</f>
        <v>45658</v>
      </c>
      <c r="D2" s="265">
        <f>DATE($R$2,2,1)</f>
        <v>45689</v>
      </c>
      <c r="E2" s="265">
        <f>DATE($R$2,3,1)</f>
        <v>45717</v>
      </c>
      <c r="F2" s="265">
        <f>DATE($R$2,4,1)</f>
        <v>45748</v>
      </c>
      <c r="G2" s="265">
        <f>DATE($R$2,5,1)</f>
        <v>45778</v>
      </c>
      <c r="H2" s="265">
        <f>DATE($R$2,6,1)</f>
        <v>45809</v>
      </c>
      <c r="I2" s="265">
        <f>DATE($R$2,7,1)</f>
        <v>45839</v>
      </c>
      <c r="J2" s="265">
        <f>DATE($R$2,8,1)</f>
        <v>45870</v>
      </c>
      <c r="K2" s="265">
        <f>DATE($R$2,9,1)</f>
        <v>45901</v>
      </c>
      <c r="L2" s="265">
        <f>DATE($R$2,10,1)</f>
        <v>45931</v>
      </c>
      <c r="M2" s="265">
        <f>DATE($R$2,11,1)</f>
        <v>45962</v>
      </c>
      <c r="N2" s="265">
        <f>DATE($R$2,12,1)</f>
        <v>45992</v>
      </c>
      <c r="O2" s="264" t="s">
        <v>348</v>
      </c>
      <c r="P2" s="266" t="s">
        <v>349</v>
      </c>
      <c r="Q2" s="267" t="s">
        <v>144</v>
      </c>
      <c r="R2" s="268">
        <v>2025</v>
      </c>
    </row>
    <row r="3" spans="1:18" ht="15" customHeight="1">
      <c r="A3" s="260" t="s">
        <v>139</v>
      </c>
      <c r="B3" s="331">
        <f>B4+B11+B12+B13+B14</f>
        <v>16000</v>
      </c>
      <c r="C3" s="261">
        <f t="shared" ref="C3:N3" si="0">C4+C11+C12+C13+C14</f>
        <v>16200</v>
      </c>
      <c r="D3" s="261">
        <f t="shared" si="0"/>
        <v>15900</v>
      </c>
      <c r="E3" s="261">
        <f t="shared" si="0"/>
        <v>16400</v>
      </c>
      <c r="F3" s="262">
        <f t="shared" si="0"/>
        <v>16000</v>
      </c>
      <c r="G3" s="261">
        <f t="shared" si="0"/>
        <v>16150</v>
      </c>
      <c r="H3" s="261">
        <f t="shared" si="0"/>
        <v>15950</v>
      </c>
      <c r="I3" s="261">
        <f t="shared" si="0"/>
        <v>16000</v>
      </c>
      <c r="J3" s="261">
        <f t="shared" si="0"/>
        <v>16250</v>
      </c>
      <c r="K3" s="261">
        <f t="shared" si="0"/>
        <v>16050</v>
      </c>
      <c r="L3" s="261">
        <f t="shared" si="0"/>
        <v>16000</v>
      </c>
      <c r="M3" s="261">
        <f t="shared" si="0"/>
        <v>16500</v>
      </c>
      <c r="N3" s="261">
        <f t="shared" si="0"/>
        <v>17100</v>
      </c>
      <c r="O3" s="261">
        <f t="shared" ref="O3:O33" si="1">SUM(C3:N3)</f>
        <v>194500</v>
      </c>
      <c r="P3" s="263">
        <f t="shared" ref="P3:P33" ca="1" si="2">IF(MONTH(TODAY())&gt;0, O3/MONTH(TODAY()), 0)</f>
        <v>38900</v>
      </c>
    </row>
    <row r="4" spans="1:18" ht="13.8" customHeight="1">
      <c r="A4" s="195" t="s">
        <v>12</v>
      </c>
      <c r="B4" s="332">
        <f>SUM(B5:B10)</f>
        <v>15000</v>
      </c>
      <c r="C4" s="187">
        <f t="shared" ref="C4:N4" si="3">SUM(C5:C10)</f>
        <v>15000</v>
      </c>
      <c r="D4" s="187">
        <f t="shared" si="3"/>
        <v>15000</v>
      </c>
      <c r="E4" s="187">
        <f t="shared" si="3"/>
        <v>15000</v>
      </c>
      <c r="F4" s="187">
        <f t="shared" si="3"/>
        <v>15000</v>
      </c>
      <c r="G4" s="187">
        <f t="shared" si="3"/>
        <v>15000</v>
      </c>
      <c r="H4" s="187">
        <f t="shared" si="3"/>
        <v>15000</v>
      </c>
      <c r="I4" s="187">
        <f t="shared" si="3"/>
        <v>15000</v>
      </c>
      <c r="J4" s="187">
        <f t="shared" si="3"/>
        <v>15000</v>
      </c>
      <c r="K4" s="187">
        <f t="shared" si="3"/>
        <v>15000</v>
      </c>
      <c r="L4" s="187">
        <f t="shared" si="3"/>
        <v>15000</v>
      </c>
      <c r="M4" s="187">
        <f t="shared" si="3"/>
        <v>15000</v>
      </c>
      <c r="N4" s="187">
        <f t="shared" si="3"/>
        <v>15000</v>
      </c>
      <c r="O4" s="187">
        <f t="shared" si="1"/>
        <v>180000</v>
      </c>
      <c r="P4" s="196">
        <f t="shared" ca="1" si="2"/>
        <v>36000</v>
      </c>
    </row>
    <row r="5" spans="1:18" ht="13.8" customHeight="1">
      <c r="A5" s="190" t="s">
        <v>411</v>
      </c>
      <c r="B5" s="213">
        <v>8500</v>
      </c>
      <c r="C5" s="213">
        <v>8500</v>
      </c>
      <c r="D5" s="213">
        <v>8500</v>
      </c>
      <c r="E5" s="213">
        <v>8500</v>
      </c>
      <c r="F5" s="213">
        <v>8500</v>
      </c>
      <c r="G5" s="213">
        <v>8500</v>
      </c>
      <c r="H5" s="213">
        <v>8500</v>
      </c>
      <c r="I5" s="213">
        <v>8500</v>
      </c>
      <c r="J5" s="213">
        <v>8500</v>
      </c>
      <c r="K5" s="213">
        <v>8500</v>
      </c>
      <c r="L5" s="213">
        <v>8500</v>
      </c>
      <c r="M5" s="213">
        <v>8500</v>
      </c>
      <c r="N5" s="213">
        <v>8500</v>
      </c>
      <c r="O5" s="213">
        <f t="shared" si="1"/>
        <v>102000</v>
      </c>
      <c r="P5" s="214">
        <f t="shared" ca="1" si="2"/>
        <v>20400</v>
      </c>
    </row>
    <row r="6" spans="1:18" ht="13.8" customHeight="1">
      <c r="A6" s="190" t="s">
        <v>412</v>
      </c>
      <c r="B6" s="213">
        <v>6500</v>
      </c>
      <c r="C6" s="213">
        <v>6500</v>
      </c>
      <c r="D6" s="213">
        <v>6500</v>
      </c>
      <c r="E6" s="213">
        <v>6500</v>
      </c>
      <c r="F6" s="213">
        <v>6500</v>
      </c>
      <c r="G6" s="213">
        <v>6500</v>
      </c>
      <c r="H6" s="213">
        <v>6500</v>
      </c>
      <c r="I6" s="213">
        <v>6500</v>
      </c>
      <c r="J6" s="213">
        <v>6500</v>
      </c>
      <c r="K6" s="213">
        <v>6500</v>
      </c>
      <c r="L6" s="213">
        <v>6500</v>
      </c>
      <c r="M6" s="213">
        <v>6500</v>
      </c>
      <c r="N6" s="213">
        <v>6500</v>
      </c>
      <c r="O6" s="213">
        <f t="shared" si="1"/>
        <v>78000</v>
      </c>
      <c r="P6" s="214">
        <f t="shared" ca="1" si="2"/>
        <v>15600</v>
      </c>
    </row>
    <row r="7" spans="1:18" ht="13.8" hidden="1" customHeight="1">
      <c r="A7" s="190" t="s">
        <v>413</v>
      </c>
      <c r="B7" s="213">
        <v>0</v>
      </c>
      <c r="C7" s="213">
        <v>0</v>
      </c>
      <c r="D7" s="213">
        <v>0</v>
      </c>
      <c r="E7" s="213">
        <v>0</v>
      </c>
      <c r="F7" s="213">
        <v>0</v>
      </c>
      <c r="G7" s="213">
        <v>0</v>
      </c>
      <c r="H7" s="213">
        <v>0</v>
      </c>
      <c r="I7" s="213">
        <v>0</v>
      </c>
      <c r="J7" s="213">
        <v>0</v>
      </c>
      <c r="K7" s="213">
        <v>0</v>
      </c>
      <c r="L7" s="213">
        <v>0</v>
      </c>
      <c r="M7" s="213">
        <v>0</v>
      </c>
      <c r="N7" s="213">
        <v>0</v>
      </c>
      <c r="O7" s="213">
        <f t="shared" si="1"/>
        <v>0</v>
      </c>
      <c r="P7" s="214">
        <f t="shared" ca="1" si="2"/>
        <v>0</v>
      </c>
    </row>
    <row r="8" spans="1:18" ht="13.8" hidden="1" customHeight="1">
      <c r="A8" s="190" t="s">
        <v>413</v>
      </c>
      <c r="B8" s="213">
        <v>0</v>
      </c>
      <c r="C8" s="213">
        <v>0</v>
      </c>
      <c r="D8" s="213">
        <v>0</v>
      </c>
      <c r="E8" s="213">
        <v>0</v>
      </c>
      <c r="F8" s="213">
        <v>0</v>
      </c>
      <c r="G8" s="213">
        <v>0</v>
      </c>
      <c r="H8" s="213">
        <v>0</v>
      </c>
      <c r="I8" s="213">
        <v>0</v>
      </c>
      <c r="J8" s="213">
        <v>0</v>
      </c>
      <c r="K8" s="213">
        <v>0</v>
      </c>
      <c r="L8" s="213">
        <v>0</v>
      </c>
      <c r="M8" s="213">
        <v>0</v>
      </c>
      <c r="N8" s="213">
        <v>0</v>
      </c>
      <c r="O8" s="213">
        <f t="shared" si="1"/>
        <v>0</v>
      </c>
      <c r="P8" s="214">
        <f t="shared" ca="1" si="2"/>
        <v>0</v>
      </c>
    </row>
    <row r="9" spans="1:18" ht="13.8" hidden="1" customHeight="1">
      <c r="A9" s="190" t="s">
        <v>413</v>
      </c>
      <c r="B9" s="213">
        <v>0</v>
      </c>
      <c r="C9" s="213">
        <v>0</v>
      </c>
      <c r="D9" s="213">
        <v>0</v>
      </c>
      <c r="E9" s="213">
        <v>0</v>
      </c>
      <c r="F9" s="213">
        <v>0</v>
      </c>
      <c r="G9" s="213">
        <v>0</v>
      </c>
      <c r="H9" s="213">
        <v>0</v>
      </c>
      <c r="I9" s="213">
        <v>0</v>
      </c>
      <c r="J9" s="213">
        <v>0</v>
      </c>
      <c r="K9" s="213">
        <v>0</v>
      </c>
      <c r="L9" s="213">
        <v>0</v>
      </c>
      <c r="M9" s="213">
        <v>0</v>
      </c>
      <c r="N9" s="213">
        <v>0</v>
      </c>
      <c r="O9" s="213">
        <f t="shared" si="1"/>
        <v>0</v>
      </c>
      <c r="P9" s="214">
        <f t="shared" ca="1" si="2"/>
        <v>0</v>
      </c>
    </row>
    <row r="10" spans="1:18" ht="13.8" hidden="1" customHeight="1">
      <c r="A10" s="190" t="s">
        <v>413</v>
      </c>
      <c r="B10" s="213">
        <v>0</v>
      </c>
      <c r="C10" s="213">
        <v>0</v>
      </c>
      <c r="D10" s="213">
        <v>0</v>
      </c>
      <c r="E10" s="213">
        <v>0</v>
      </c>
      <c r="F10" s="213">
        <v>0</v>
      </c>
      <c r="G10" s="213">
        <v>0</v>
      </c>
      <c r="H10" s="213">
        <v>0</v>
      </c>
      <c r="I10" s="213">
        <v>0</v>
      </c>
      <c r="J10" s="213">
        <v>0</v>
      </c>
      <c r="K10" s="213">
        <v>0</v>
      </c>
      <c r="L10" s="213">
        <v>0</v>
      </c>
      <c r="M10" s="213">
        <v>0</v>
      </c>
      <c r="N10" s="213">
        <v>0</v>
      </c>
      <c r="O10" s="213">
        <f t="shared" si="1"/>
        <v>0</v>
      </c>
      <c r="P10" s="214">
        <f t="shared" ca="1" si="2"/>
        <v>0</v>
      </c>
    </row>
    <row r="11" spans="1:18">
      <c r="A11" s="191" t="s">
        <v>13</v>
      </c>
      <c r="B11" s="188">
        <v>500</v>
      </c>
      <c r="C11" s="188">
        <v>500</v>
      </c>
      <c r="D11" s="188">
        <v>500</v>
      </c>
      <c r="E11" s="188">
        <v>500</v>
      </c>
      <c r="F11" s="188">
        <v>500</v>
      </c>
      <c r="G11" s="188">
        <v>500</v>
      </c>
      <c r="H11" s="188">
        <v>500</v>
      </c>
      <c r="I11" s="188">
        <v>500</v>
      </c>
      <c r="J11" s="188">
        <v>500</v>
      </c>
      <c r="K11" s="188">
        <v>500</v>
      </c>
      <c r="L11" s="188">
        <v>500</v>
      </c>
      <c r="M11" s="188">
        <v>500</v>
      </c>
      <c r="N11" s="188">
        <v>500</v>
      </c>
      <c r="O11" s="188">
        <f t="shared" si="1"/>
        <v>6000</v>
      </c>
      <c r="P11" s="193">
        <f t="shared" ca="1" si="2"/>
        <v>1200</v>
      </c>
    </row>
    <row r="12" spans="1:18" hidden="1">
      <c r="A12" s="192" t="s">
        <v>17</v>
      </c>
      <c r="B12" s="189">
        <v>0</v>
      </c>
      <c r="C12" s="189">
        <v>0</v>
      </c>
      <c r="D12" s="189">
        <v>0</v>
      </c>
      <c r="E12" s="189">
        <v>0</v>
      </c>
      <c r="F12" s="189">
        <v>0</v>
      </c>
      <c r="G12" s="189">
        <v>0</v>
      </c>
      <c r="H12" s="189">
        <v>0</v>
      </c>
      <c r="I12" s="189">
        <v>0</v>
      </c>
      <c r="J12" s="189">
        <v>0</v>
      </c>
      <c r="K12" s="189">
        <v>0</v>
      </c>
      <c r="L12" s="189">
        <v>0</v>
      </c>
      <c r="M12" s="189">
        <v>0</v>
      </c>
      <c r="N12" s="189">
        <v>0</v>
      </c>
      <c r="O12" s="189">
        <f t="shared" si="1"/>
        <v>0</v>
      </c>
      <c r="P12" s="194">
        <f t="shared" ca="1" si="2"/>
        <v>0</v>
      </c>
    </row>
    <row r="13" spans="1:18" hidden="1">
      <c r="A13" s="229" t="s">
        <v>19</v>
      </c>
      <c r="B13" s="230">
        <v>0</v>
      </c>
      <c r="C13" s="230">
        <v>200</v>
      </c>
      <c r="D13" s="230">
        <v>0</v>
      </c>
      <c r="E13" s="230">
        <v>300</v>
      </c>
      <c r="F13" s="230">
        <v>0</v>
      </c>
      <c r="G13" s="230">
        <v>150</v>
      </c>
      <c r="H13" s="230">
        <v>0</v>
      </c>
      <c r="I13" s="230">
        <v>0</v>
      </c>
      <c r="J13" s="230">
        <v>250</v>
      </c>
      <c r="K13" s="230">
        <v>0</v>
      </c>
      <c r="L13" s="230">
        <v>0</v>
      </c>
      <c r="M13" s="230">
        <v>500</v>
      </c>
      <c r="N13" s="230">
        <v>1000</v>
      </c>
      <c r="O13" s="230">
        <f t="shared" si="1"/>
        <v>2400</v>
      </c>
      <c r="P13" s="231">
        <f t="shared" ca="1" si="2"/>
        <v>480</v>
      </c>
    </row>
    <row r="14" spans="1:18">
      <c r="A14" s="233" t="s">
        <v>414</v>
      </c>
      <c r="B14" s="234">
        <v>500</v>
      </c>
      <c r="C14" s="234">
        <v>500</v>
      </c>
      <c r="D14" s="234">
        <v>400</v>
      </c>
      <c r="E14" s="234">
        <v>600</v>
      </c>
      <c r="F14" s="234">
        <v>500</v>
      </c>
      <c r="G14" s="234">
        <v>500</v>
      </c>
      <c r="H14" s="234">
        <v>450</v>
      </c>
      <c r="I14" s="234">
        <v>500</v>
      </c>
      <c r="J14" s="234">
        <v>500</v>
      </c>
      <c r="K14" s="234">
        <v>550</v>
      </c>
      <c r="L14" s="234">
        <v>500</v>
      </c>
      <c r="M14" s="234">
        <v>500</v>
      </c>
      <c r="N14" s="234">
        <v>600</v>
      </c>
      <c r="O14" s="234">
        <f t="shared" si="1"/>
        <v>6100</v>
      </c>
      <c r="P14" s="235">
        <f t="shared" ca="1" si="2"/>
        <v>1220</v>
      </c>
    </row>
    <row r="15" spans="1:18" ht="24" customHeight="1">
      <c r="A15" s="232" t="s">
        <v>90</v>
      </c>
      <c r="B15" s="333">
        <v>500</v>
      </c>
      <c r="C15" s="250">
        <f t="shared" ref="C15:N15" si="4">SUM(C16:C19)</f>
        <v>500</v>
      </c>
      <c r="D15" s="250">
        <f t="shared" si="4"/>
        <v>500</v>
      </c>
      <c r="E15" s="250">
        <f t="shared" si="4"/>
        <v>500</v>
      </c>
      <c r="F15" s="251">
        <f t="shared" si="4"/>
        <v>500</v>
      </c>
      <c r="G15" s="250">
        <f t="shared" si="4"/>
        <v>500</v>
      </c>
      <c r="H15" s="250">
        <f t="shared" si="4"/>
        <v>500</v>
      </c>
      <c r="I15" s="250">
        <f t="shared" si="4"/>
        <v>500</v>
      </c>
      <c r="J15" s="250">
        <f t="shared" si="4"/>
        <v>500</v>
      </c>
      <c r="K15" s="250">
        <f t="shared" si="4"/>
        <v>500</v>
      </c>
      <c r="L15" s="250">
        <f t="shared" si="4"/>
        <v>500</v>
      </c>
      <c r="M15" s="250">
        <f t="shared" si="4"/>
        <v>500</v>
      </c>
      <c r="N15" s="250">
        <f t="shared" si="4"/>
        <v>700</v>
      </c>
      <c r="O15" s="250">
        <f t="shared" si="1"/>
        <v>6200</v>
      </c>
      <c r="P15" s="252">
        <f t="shared" ca="1" si="2"/>
        <v>1240</v>
      </c>
    </row>
    <row r="16" spans="1:18">
      <c r="A16" s="215" t="s">
        <v>77</v>
      </c>
      <c r="B16" s="216">
        <v>300</v>
      </c>
      <c r="C16" s="216">
        <v>300</v>
      </c>
      <c r="D16" s="216">
        <v>300</v>
      </c>
      <c r="E16" s="216">
        <v>300</v>
      </c>
      <c r="F16" s="216">
        <v>300</v>
      </c>
      <c r="G16" s="216">
        <v>300</v>
      </c>
      <c r="H16" s="216">
        <v>300</v>
      </c>
      <c r="I16" s="216">
        <v>300</v>
      </c>
      <c r="J16" s="216">
        <v>300</v>
      </c>
      <c r="K16" s="216">
        <v>300</v>
      </c>
      <c r="L16" s="216">
        <v>300</v>
      </c>
      <c r="M16" s="216">
        <v>300</v>
      </c>
      <c r="N16" s="216">
        <v>500</v>
      </c>
      <c r="O16" s="216">
        <f t="shared" si="1"/>
        <v>3800</v>
      </c>
      <c r="P16" s="217">
        <f t="shared" ca="1" si="2"/>
        <v>760</v>
      </c>
    </row>
    <row r="17" spans="1:16">
      <c r="A17" s="218" t="s">
        <v>79</v>
      </c>
      <c r="B17" s="219">
        <v>100</v>
      </c>
      <c r="C17" s="219">
        <v>100</v>
      </c>
      <c r="D17" s="219">
        <v>100</v>
      </c>
      <c r="E17" s="219">
        <v>100</v>
      </c>
      <c r="F17" s="219">
        <v>100</v>
      </c>
      <c r="G17" s="219">
        <v>100</v>
      </c>
      <c r="H17" s="219">
        <v>100</v>
      </c>
      <c r="I17" s="219">
        <v>100</v>
      </c>
      <c r="J17" s="219">
        <v>100</v>
      </c>
      <c r="K17" s="219">
        <v>100</v>
      </c>
      <c r="L17" s="219">
        <v>100</v>
      </c>
      <c r="M17" s="219">
        <v>100</v>
      </c>
      <c r="N17" s="219">
        <v>100</v>
      </c>
      <c r="O17" s="219">
        <f t="shared" si="1"/>
        <v>1200</v>
      </c>
      <c r="P17" s="220">
        <f t="shared" ca="1" si="2"/>
        <v>240</v>
      </c>
    </row>
    <row r="18" spans="1:16">
      <c r="A18" s="236" t="s">
        <v>82</v>
      </c>
      <c r="B18" s="237">
        <v>100</v>
      </c>
      <c r="C18" s="237">
        <v>100</v>
      </c>
      <c r="D18" s="237">
        <v>100</v>
      </c>
      <c r="E18" s="237">
        <v>100</v>
      </c>
      <c r="F18" s="237">
        <v>100</v>
      </c>
      <c r="G18" s="237">
        <v>100</v>
      </c>
      <c r="H18" s="237">
        <v>100</v>
      </c>
      <c r="I18" s="237">
        <v>100</v>
      </c>
      <c r="J18" s="237">
        <v>100</v>
      </c>
      <c r="K18" s="237">
        <v>100</v>
      </c>
      <c r="L18" s="237">
        <v>100</v>
      </c>
      <c r="M18" s="237">
        <v>100</v>
      </c>
      <c r="N18" s="237">
        <v>100</v>
      </c>
      <c r="O18" s="237">
        <f t="shared" si="1"/>
        <v>1200</v>
      </c>
      <c r="P18" s="238">
        <f t="shared" ca="1" si="2"/>
        <v>240</v>
      </c>
    </row>
    <row r="19" spans="1:16" hidden="1">
      <c r="A19" s="240" t="s">
        <v>84</v>
      </c>
      <c r="B19" s="241">
        <v>0</v>
      </c>
      <c r="C19" s="241">
        <v>0</v>
      </c>
      <c r="D19" s="241">
        <v>0</v>
      </c>
      <c r="E19" s="241">
        <v>0</v>
      </c>
      <c r="F19" s="241">
        <v>0</v>
      </c>
      <c r="G19" s="241">
        <v>0</v>
      </c>
      <c r="H19" s="241">
        <v>0</v>
      </c>
      <c r="I19" s="241">
        <v>0</v>
      </c>
      <c r="J19" s="241">
        <v>0</v>
      </c>
      <c r="K19" s="241">
        <v>0</v>
      </c>
      <c r="L19" s="241">
        <v>0</v>
      </c>
      <c r="M19" s="241">
        <v>0</v>
      </c>
      <c r="N19" s="241">
        <v>0</v>
      </c>
      <c r="O19" s="241">
        <f t="shared" si="1"/>
        <v>0</v>
      </c>
      <c r="P19" s="242">
        <f t="shared" ca="1" si="2"/>
        <v>0</v>
      </c>
    </row>
    <row r="20" spans="1:16" ht="24" customHeight="1">
      <c r="A20" s="239" t="s">
        <v>138</v>
      </c>
      <c r="B20" s="334">
        <f>SUM(B21:B31)</f>
        <v>12500</v>
      </c>
      <c r="C20" s="253">
        <f t="shared" ref="C20:N20" si="5">SUM(C21:C31)</f>
        <v>12130</v>
      </c>
      <c r="D20" s="253">
        <f t="shared" si="5"/>
        <v>13020</v>
      </c>
      <c r="E20" s="253">
        <f t="shared" si="5"/>
        <v>11750</v>
      </c>
      <c r="F20" s="254">
        <f t="shared" si="5"/>
        <v>13100</v>
      </c>
      <c r="G20" s="253">
        <f t="shared" si="5"/>
        <v>12500</v>
      </c>
      <c r="H20" s="253">
        <f t="shared" si="5"/>
        <v>12320</v>
      </c>
      <c r="I20" s="253">
        <f t="shared" si="5"/>
        <v>12760</v>
      </c>
      <c r="J20" s="253">
        <f t="shared" si="5"/>
        <v>12030</v>
      </c>
      <c r="K20" s="253">
        <f t="shared" si="5"/>
        <v>12500</v>
      </c>
      <c r="L20" s="253">
        <f t="shared" si="5"/>
        <v>12920</v>
      </c>
      <c r="M20" s="253">
        <f t="shared" si="5"/>
        <v>12850</v>
      </c>
      <c r="N20" s="253">
        <f t="shared" si="5"/>
        <v>13800</v>
      </c>
      <c r="O20" s="253">
        <f t="shared" si="1"/>
        <v>151680</v>
      </c>
      <c r="P20" s="255">
        <f t="shared" ca="1" si="2"/>
        <v>30336</v>
      </c>
    </row>
    <row r="21" spans="1:16">
      <c r="A21" s="221" t="s">
        <v>23</v>
      </c>
      <c r="B21" s="222">
        <v>4800</v>
      </c>
      <c r="C21" s="222">
        <v>4750</v>
      </c>
      <c r="D21" s="222">
        <v>4850</v>
      </c>
      <c r="E21" s="222">
        <v>4700</v>
      </c>
      <c r="F21" s="222">
        <v>4900</v>
      </c>
      <c r="G21" s="222">
        <v>4800</v>
      </c>
      <c r="H21" s="222">
        <v>4750</v>
      </c>
      <c r="I21" s="222">
        <v>4850</v>
      </c>
      <c r="J21" s="222">
        <v>4700</v>
      </c>
      <c r="K21" s="222">
        <v>4800</v>
      </c>
      <c r="L21" s="222">
        <v>4900</v>
      </c>
      <c r="M21" s="222">
        <v>4750</v>
      </c>
      <c r="N21" s="222">
        <v>5000</v>
      </c>
      <c r="O21" s="222">
        <f t="shared" si="1"/>
        <v>57750</v>
      </c>
      <c r="P21" s="223">
        <f t="shared" ca="1" si="2"/>
        <v>11550</v>
      </c>
    </row>
    <row r="22" spans="1:16">
      <c r="A22" s="224" t="s">
        <v>37</v>
      </c>
      <c r="B22" s="225">
        <v>2000</v>
      </c>
      <c r="C22" s="225">
        <v>1950</v>
      </c>
      <c r="D22" s="225">
        <v>2100</v>
      </c>
      <c r="E22" s="225">
        <v>1900</v>
      </c>
      <c r="F22" s="225">
        <v>2050</v>
      </c>
      <c r="G22" s="225">
        <v>2000</v>
      </c>
      <c r="H22" s="225">
        <v>1980</v>
      </c>
      <c r="I22" s="225">
        <v>2100</v>
      </c>
      <c r="J22" s="225">
        <v>1900</v>
      </c>
      <c r="K22" s="225">
        <v>2000</v>
      </c>
      <c r="L22" s="225">
        <v>2050</v>
      </c>
      <c r="M22" s="225">
        <v>2100</v>
      </c>
      <c r="N22" s="225">
        <v>2200</v>
      </c>
      <c r="O22" s="225">
        <f t="shared" si="1"/>
        <v>24330</v>
      </c>
      <c r="P22" s="226">
        <f t="shared" ca="1" si="2"/>
        <v>4866</v>
      </c>
    </row>
    <row r="23" spans="1:16">
      <c r="A23" s="227" t="s">
        <v>44</v>
      </c>
      <c r="B23" s="222">
        <v>1200</v>
      </c>
      <c r="C23" s="222">
        <v>1150</v>
      </c>
      <c r="D23" s="222">
        <v>1250</v>
      </c>
      <c r="E23" s="222">
        <v>1100</v>
      </c>
      <c r="F23" s="222">
        <v>1300</v>
      </c>
      <c r="G23" s="222">
        <v>1200</v>
      </c>
      <c r="H23" s="222">
        <v>1180</v>
      </c>
      <c r="I23" s="222">
        <v>1220</v>
      </c>
      <c r="J23" s="222">
        <v>1150</v>
      </c>
      <c r="K23" s="222">
        <v>1200</v>
      </c>
      <c r="L23" s="222">
        <v>1250</v>
      </c>
      <c r="M23" s="222">
        <v>1200</v>
      </c>
      <c r="N23" s="222">
        <v>1300</v>
      </c>
      <c r="O23" s="222">
        <f t="shared" si="1"/>
        <v>14500</v>
      </c>
      <c r="P23" s="223">
        <f t="shared" ca="1" si="2"/>
        <v>2900</v>
      </c>
    </row>
    <row r="24" spans="1:16">
      <c r="A24" s="224" t="s">
        <v>50</v>
      </c>
      <c r="B24" s="225">
        <v>800</v>
      </c>
      <c r="C24" s="225">
        <v>750</v>
      </c>
      <c r="D24" s="225">
        <v>850</v>
      </c>
      <c r="E24" s="225">
        <v>700</v>
      </c>
      <c r="F24" s="225">
        <v>900</v>
      </c>
      <c r="G24" s="225">
        <v>800</v>
      </c>
      <c r="H24" s="225">
        <v>780</v>
      </c>
      <c r="I24" s="225">
        <v>820</v>
      </c>
      <c r="J24" s="225">
        <v>750</v>
      </c>
      <c r="K24" s="225">
        <v>800</v>
      </c>
      <c r="L24" s="225">
        <v>850</v>
      </c>
      <c r="M24" s="225">
        <v>800</v>
      </c>
      <c r="N24" s="225">
        <v>900</v>
      </c>
      <c r="O24" s="225">
        <f t="shared" si="1"/>
        <v>9700</v>
      </c>
      <c r="P24" s="226">
        <f t="shared" ca="1" si="2"/>
        <v>1940</v>
      </c>
    </row>
    <row r="25" spans="1:16">
      <c r="A25" s="227" t="s">
        <v>54</v>
      </c>
      <c r="B25" s="222">
        <v>1500</v>
      </c>
      <c r="C25" s="222">
        <v>1500</v>
      </c>
      <c r="D25" s="222">
        <v>1500</v>
      </c>
      <c r="E25" s="222">
        <v>1500</v>
      </c>
      <c r="F25" s="222">
        <v>1500</v>
      </c>
      <c r="G25" s="222">
        <v>1500</v>
      </c>
      <c r="H25" s="222">
        <v>1500</v>
      </c>
      <c r="I25" s="222">
        <v>1500</v>
      </c>
      <c r="J25" s="222">
        <v>1500</v>
      </c>
      <c r="K25" s="222">
        <v>1500</v>
      </c>
      <c r="L25" s="222">
        <v>1500</v>
      </c>
      <c r="M25" s="222">
        <v>1500</v>
      </c>
      <c r="N25" s="222">
        <v>1500</v>
      </c>
      <c r="O25" s="222">
        <f t="shared" si="1"/>
        <v>18000</v>
      </c>
      <c r="P25" s="223">
        <f t="shared" ca="1" si="2"/>
        <v>3600</v>
      </c>
    </row>
    <row r="26" spans="1:16">
      <c r="A26" s="224" t="s">
        <v>58</v>
      </c>
      <c r="B26" s="225">
        <v>300</v>
      </c>
      <c r="C26" s="225">
        <v>250</v>
      </c>
      <c r="D26" s="225">
        <v>350</v>
      </c>
      <c r="E26" s="225">
        <v>200</v>
      </c>
      <c r="F26" s="225">
        <v>400</v>
      </c>
      <c r="G26" s="225">
        <v>300</v>
      </c>
      <c r="H26" s="225">
        <v>280</v>
      </c>
      <c r="I26" s="225">
        <v>320</v>
      </c>
      <c r="J26" s="225">
        <v>250</v>
      </c>
      <c r="K26" s="225">
        <v>300</v>
      </c>
      <c r="L26" s="225">
        <v>350</v>
      </c>
      <c r="M26" s="225">
        <v>400</v>
      </c>
      <c r="N26" s="225">
        <v>500</v>
      </c>
      <c r="O26" s="225">
        <f t="shared" si="1"/>
        <v>3900</v>
      </c>
      <c r="P26" s="226">
        <f t="shared" ca="1" si="2"/>
        <v>780</v>
      </c>
    </row>
    <row r="27" spans="1:16">
      <c r="A27" s="221" t="s">
        <v>62</v>
      </c>
      <c r="B27" s="222">
        <v>600</v>
      </c>
      <c r="C27" s="222">
        <v>550</v>
      </c>
      <c r="D27" s="222">
        <v>700</v>
      </c>
      <c r="E27" s="222">
        <v>500</v>
      </c>
      <c r="F27" s="222">
        <v>650</v>
      </c>
      <c r="G27" s="222">
        <v>600</v>
      </c>
      <c r="H27" s="222">
        <v>580</v>
      </c>
      <c r="I27" s="222">
        <v>620</v>
      </c>
      <c r="J27" s="222">
        <v>550</v>
      </c>
      <c r="K27" s="222">
        <v>600</v>
      </c>
      <c r="L27" s="222">
        <v>650</v>
      </c>
      <c r="M27" s="222">
        <v>700</v>
      </c>
      <c r="N27" s="222">
        <v>800</v>
      </c>
      <c r="O27" s="222">
        <f t="shared" si="1"/>
        <v>7500</v>
      </c>
      <c r="P27" s="223">
        <f t="shared" ca="1" si="2"/>
        <v>1500</v>
      </c>
    </row>
    <row r="28" spans="1:16">
      <c r="A28" s="224" t="s">
        <v>69</v>
      </c>
      <c r="B28" s="225">
        <v>100</v>
      </c>
      <c r="C28" s="225">
        <v>100</v>
      </c>
      <c r="D28" s="225">
        <v>100</v>
      </c>
      <c r="E28" s="225">
        <v>100</v>
      </c>
      <c r="F28" s="225">
        <v>100</v>
      </c>
      <c r="G28" s="225">
        <v>100</v>
      </c>
      <c r="H28" s="225">
        <v>100</v>
      </c>
      <c r="I28" s="225">
        <v>100</v>
      </c>
      <c r="J28" s="225">
        <v>100</v>
      </c>
      <c r="K28" s="225">
        <v>100</v>
      </c>
      <c r="L28" s="225">
        <v>100</v>
      </c>
      <c r="M28" s="225">
        <v>100</v>
      </c>
      <c r="N28" s="225">
        <v>150</v>
      </c>
      <c r="O28" s="225">
        <f t="shared" si="1"/>
        <v>1250</v>
      </c>
      <c r="P28" s="226">
        <f t="shared" ca="1" si="2"/>
        <v>250</v>
      </c>
    </row>
    <row r="29" spans="1:16">
      <c r="A29" s="221" t="s">
        <v>415</v>
      </c>
      <c r="B29" s="222">
        <v>200</v>
      </c>
      <c r="C29" s="222">
        <v>180</v>
      </c>
      <c r="D29" s="222">
        <v>220</v>
      </c>
      <c r="E29" s="222">
        <v>150</v>
      </c>
      <c r="F29" s="222">
        <v>250</v>
      </c>
      <c r="G29" s="222">
        <v>200</v>
      </c>
      <c r="H29" s="222">
        <v>190</v>
      </c>
      <c r="I29" s="222">
        <v>210</v>
      </c>
      <c r="J29" s="222">
        <v>180</v>
      </c>
      <c r="K29" s="222">
        <v>200</v>
      </c>
      <c r="L29" s="222">
        <v>220</v>
      </c>
      <c r="M29" s="222">
        <v>200</v>
      </c>
      <c r="N29" s="222">
        <v>250</v>
      </c>
      <c r="O29" s="222">
        <f t="shared" si="1"/>
        <v>2450</v>
      </c>
      <c r="P29" s="223">
        <f t="shared" ca="1" si="2"/>
        <v>490</v>
      </c>
    </row>
    <row r="30" spans="1:16" hidden="1">
      <c r="A30" s="243" t="s">
        <v>71</v>
      </c>
      <c r="B30" s="244">
        <v>0</v>
      </c>
      <c r="C30" s="244">
        <v>0</v>
      </c>
      <c r="D30" s="244">
        <v>0</v>
      </c>
      <c r="E30" s="244">
        <v>0</v>
      </c>
      <c r="F30" s="244">
        <v>0</v>
      </c>
      <c r="G30" s="244">
        <v>0</v>
      </c>
      <c r="H30" s="244">
        <v>0</v>
      </c>
      <c r="I30" s="244">
        <v>0</v>
      </c>
      <c r="J30" s="244">
        <v>0</v>
      </c>
      <c r="K30" s="244">
        <v>0</v>
      </c>
      <c r="L30" s="244">
        <v>0</v>
      </c>
      <c r="M30" s="244">
        <v>0</v>
      </c>
      <c r="N30" s="244">
        <v>0</v>
      </c>
      <c r="O30" s="244">
        <f t="shared" si="1"/>
        <v>0</v>
      </c>
      <c r="P30" s="245">
        <f t="shared" ca="1" si="2"/>
        <v>0</v>
      </c>
    </row>
    <row r="31" spans="1:16" ht="15" thickBot="1">
      <c r="A31" s="247" t="s">
        <v>21</v>
      </c>
      <c r="B31" s="248">
        <v>1000</v>
      </c>
      <c r="C31" s="248">
        <v>950</v>
      </c>
      <c r="D31" s="248">
        <v>1100</v>
      </c>
      <c r="E31" s="248">
        <v>900</v>
      </c>
      <c r="F31" s="248">
        <v>1050</v>
      </c>
      <c r="G31" s="248">
        <v>1000</v>
      </c>
      <c r="H31" s="248">
        <v>980</v>
      </c>
      <c r="I31" s="248">
        <v>1020</v>
      </c>
      <c r="J31" s="248">
        <v>950</v>
      </c>
      <c r="K31" s="248">
        <v>1000</v>
      </c>
      <c r="L31" s="248">
        <v>1050</v>
      </c>
      <c r="M31" s="248">
        <v>1100</v>
      </c>
      <c r="N31" s="248">
        <v>1200</v>
      </c>
      <c r="O31" s="248">
        <f t="shared" si="1"/>
        <v>12300</v>
      </c>
      <c r="P31" s="249">
        <f t="shared" ca="1" si="2"/>
        <v>2460</v>
      </c>
    </row>
    <row r="32" spans="1:16">
      <c r="A32" s="246" t="s">
        <v>345</v>
      </c>
      <c r="B32" s="256">
        <f>B3-B20</f>
        <v>3500</v>
      </c>
      <c r="C32" s="256">
        <f t="shared" ref="C32:N32" si="6">C3-C20</f>
        <v>4070</v>
      </c>
      <c r="D32" s="256">
        <f t="shared" si="6"/>
        <v>2880</v>
      </c>
      <c r="E32" s="256">
        <f t="shared" si="6"/>
        <v>4650</v>
      </c>
      <c r="F32" s="256">
        <f t="shared" si="6"/>
        <v>2900</v>
      </c>
      <c r="G32" s="256">
        <f t="shared" si="6"/>
        <v>3650</v>
      </c>
      <c r="H32" s="256">
        <f t="shared" si="6"/>
        <v>3630</v>
      </c>
      <c r="I32" s="256">
        <f t="shared" si="6"/>
        <v>3240</v>
      </c>
      <c r="J32" s="256">
        <f t="shared" si="6"/>
        <v>4220</v>
      </c>
      <c r="K32" s="256">
        <f t="shared" si="6"/>
        <v>3550</v>
      </c>
      <c r="L32" s="256">
        <f t="shared" si="6"/>
        <v>3080</v>
      </c>
      <c r="M32" s="256">
        <f t="shared" si="6"/>
        <v>3650</v>
      </c>
      <c r="N32" s="256">
        <f t="shared" si="6"/>
        <v>3300</v>
      </c>
      <c r="O32" s="256">
        <f t="shared" si="1"/>
        <v>42820</v>
      </c>
      <c r="P32" s="257">
        <f t="shared" ca="1" si="2"/>
        <v>8564</v>
      </c>
    </row>
    <row r="33" spans="1:16" ht="15" thickBot="1">
      <c r="A33" s="228" t="s">
        <v>346</v>
      </c>
      <c r="B33" s="258">
        <f>B3-B20-B15</f>
        <v>3000</v>
      </c>
      <c r="C33" s="258">
        <f t="shared" ref="C33:N33" si="7">C3-C20-C15</f>
        <v>3570</v>
      </c>
      <c r="D33" s="258">
        <f t="shared" si="7"/>
        <v>2380</v>
      </c>
      <c r="E33" s="258">
        <f t="shared" si="7"/>
        <v>4150</v>
      </c>
      <c r="F33" s="258">
        <f t="shared" si="7"/>
        <v>2400</v>
      </c>
      <c r="G33" s="258">
        <f t="shared" si="7"/>
        <v>3150</v>
      </c>
      <c r="H33" s="258">
        <f t="shared" si="7"/>
        <v>3130</v>
      </c>
      <c r="I33" s="258">
        <f t="shared" si="7"/>
        <v>2740</v>
      </c>
      <c r="J33" s="258">
        <f t="shared" si="7"/>
        <v>3720</v>
      </c>
      <c r="K33" s="258">
        <f t="shared" si="7"/>
        <v>3050</v>
      </c>
      <c r="L33" s="258">
        <f t="shared" si="7"/>
        <v>2580</v>
      </c>
      <c r="M33" s="258">
        <f t="shared" si="7"/>
        <v>3150</v>
      </c>
      <c r="N33" s="258">
        <f t="shared" si="7"/>
        <v>2600</v>
      </c>
      <c r="O33" s="258">
        <f t="shared" si="1"/>
        <v>36620</v>
      </c>
      <c r="P33" s="259">
        <f t="shared" ca="1" si="2"/>
        <v>7324</v>
      </c>
    </row>
  </sheetData>
  <mergeCells count="1">
    <mergeCell ref="A1:P1"/>
  </mergeCells>
  <phoneticPr fontId="6" type="noConversion"/>
  <conditionalFormatting sqref="B3:P31">
    <cfRule type="cellIs" dxfId="18" priority="1" operator="lessThan">
      <formula>0</formula>
    </cfRule>
  </conditionalFormatting>
  <dataValidations disablePrompts="1" count="1">
    <dataValidation type="list" allowBlank="1" showInputMessage="1" showErrorMessage="1" sqref="R2" xr:uid="{C0EBB8D9-31BA-4733-94AA-A834ED7EC376}">
      <formula1>"2024,2025,2026,2027,2028,2029,2030"</formula1>
    </dataValidation>
  </dataValidations>
  <pageMargins left="0.25" right="0.25" top="0.75" bottom="0.75" header="0.3" footer="0.3"/>
  <pageSetup paperSize="9" scale="93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8CB6-9790-4821-89E5-F2E4C41504BB}">
  <sheetPr>
    <tabColor rgb="FF27AE60"/>
    <pageSetUpPr fitToPage="1"/>
  </sheetPr>
  <dimension ref="A1:F302"/>
  <sheetViews>
    <sheetView showGridLines="0" workbookViewId="0">
      <pane ySplit="3" topLeftCell="A4" activePane="bottomLeft" state="frozen"/>
      <selection pane="bottomLeft" activeCell="E312" sqref="E312"/>
    </sheetView>
  </sheetViews>
  <sheetFormatPr defaultRowHeight="14.4"/>
  <cols>
    <col min="1" max="1" width="15.77734375" customWidth="1"/>
    <col min="2" max="2" width="18.5546875" customWidth="1"/>
    <col min="3" max="3" width="27.77734375" customWidth="1"/>
    <col min="4" max="4" width="16.6640625" customWidth="1"/>
    <col min="5" max="5" width="27.77734375" customWidth="1"/>
    <col min="6" max="6" width="13" customWidth="1"/>
    <col min="7" max="7" width="33.33203125" customWidth="1"/>
    <col min="8" max="8" width="16.109375" customWidth="1"/>
    <col min="9" max="9" width="14" bestFit="1" customWidth="1"/>
  </cols>
  <sheetData>
    <row r="1" spans="1:6" ht="30" customHeight="1">
      <c r="A1" s="355" t="s">
        <v>339</v>
      </c>
      <c r="B1" s="356"/>
      <c r="C1" s="356"/>
      <c r="D1" s="356"/>
      <c r="E1" s="356"/>
      <c r="F1" s="356"/>
    </row>
    <row r="2" spans="1:6" ht="19.95" customHeight="1" thickBot="1">
      <c r="A2" s="270" t="s">
        <v>340</v>
      </c>
      <c r="B2" s="270"/>
      <c r="C2" s="270"/>
      <c r="D2" s="270"/>
      <c r="E2" s="270"/>
      <c r="F2" s="270"/>
    </row>
    <row r="3" spans="1:6" ht="25.05" customHeight="1" thickBot="1">
      <c r="A3" s="182" t="s">
        <v>235</v>
      </c>
      <c r="B3" s="183" t="s">
        <v>236</v>
      </c>
      <c r="C3" s="183" t="s">
        <v>237</v>
      </c>
      <c r="D3" s="183" t="s">
        <v>240</v>
      </c>
      <c r="E3" s="183" t="s">
        <v>239</v>
      </c>
      <c r="F3" s="93" t="s">
        <v>283</v>
      </c>
    </row>
    <row r="4" spans="1:6" ht="19.95" customHeight="1" thickTop="1">
      <c r="A4" s="95">
        <v>45661</v>
      </c>
      <c r="B4" s="96" t="s">
        <v>12</v>
      </c>
      <c r="C4" s="96" t="s">
        <v>417</v>
      </c>
      <c r="D4" s="97">
        <v>8500</v>
      </c>
      <c r="E4" s="96" t="s">
        <v>418</v>
      </c>
      <c r="F4" t="s">
        <v>154</v>
      </c>
    </row>
    <row r="5" spans="1:6" ht="19.95" customHeight="1">
      <c r="A5" s="98">
        <v>45666</v>
      </c>
      <c r="B5" s="99" t="s">
        <v>12</v>
      </c>
      <c r="C5" s="99" t="s">
        <v>419</v>
      </c>
      <c r="D5" s="100">
        <v>6500</v>
      </c>
      <c r="E5" s="99" t="s">
        <v>418</v>
      </c>
      <c r="F5" t="s">
        <v>154</v>
      </c>
    </row>
    <row r="6" spans="1:6" ht="19.95" customHeight="1">
      <c r="A6" s="98">
        <v>45657</v>
      </c>
      <c r="B6" s="99" t="s">
        <v>13</v>
      </c>
      <c r="C6" s="99" t="s">
        <v>14</v>
      </c>
      <c r="D6" s="100">
        <v>500</v>
      </c>
      <c r="E6" s="99" t="s">
        <v>420</v>
      </c>
      <c r="F6" t="s">
        <v>154</v>
      </c>
    </row>
    <row r="7" spans="1:6" ht="19.95" customHeight="1">
      <c r="A7" s="98">
        <v>45681</v>
      </c>
      <c r="B7" s="99" t="s">
        <v>414</v>
      </c>
      <c r="C7" s="99" t="s">
        <v>421</v>
      </c>
      <c r="D7" s="100">
        <v>500</v>
      </c>
      <c r="E7" s="99" t="s">
        <v>422</v>
      </c>
      <c r="F7" t="s">
        <v>154</v>
      </c>
    </row>
    <row r="8" spans="1:6" ht="19.95" customHeight="1">
      <c r="A8" s="98">
        <v>45671</v>
      </c>
      <c r="B8" s="99" t="s">
        <v>19</v>
      </c>
      <c r="C8" s="99" t="s">
        <v>21</v>
      </c>
      <c r="D8" s="100">
        <v>200</v>
      </c>
      <c r="E8" s="99" t="s">
        <v>423</v>
      </c>
      <c r="F8" t="s">
        <v>154</v>
      </c>
    </row>
    <row r="9" spans="1:6" ht="19.95" customHeight="1">
      <c r="A9" s="98">
        <v>45692</v>
      </c>
      <c r="B9" s="99" t="s">
        <v>12</v>
      </c>
      <c r="C9" s="99" t="s">
        <v>417</v>
      </c>
      <c r="D9" s="100">
        <v>8500</v>
      </c>
      <c r="E9" s="99" t="s">
        <v>418</v>
      </c>
      <c r="F9" t="s">
        <v>154</v>
      </c>
    </row>
    <row r="10" spans="1:6" ht="19.95" customHeight="1">
      <c r="A10" s="98">
        <v>45697</v>
      </c>
      <c r="B10" s="99" t="s">
        <v>12</v>
      </c>
      <c r="C10" s="99" t="s">
        <v>419</v>
      </c>
      <c r="D10" s="100">
        <v>6500</v>
      </c>
      <c r="E10" s="99" t="s">
        <v>418</v>
      </c>
      <c r="F10" t="s">
        <v>154</v>
      </c>
    </row>
    <row r="11" spans="1:6" ht="19.95" customHeight="1">
      <c r="A11" s="98">
        <v>45688</v>
      </c>
      <c r="B11" s="99" t="s">
        <v>13</v>
      </c>
      <c r="C11" s="99" t="s">
        <v>14</v>
      </c>
      <c r="D11" s="100">
        <v>500</v>
      </c>
      <c r="E11" s="99" t="s">
        <v>420</v>
      </c>
      <c r="F11" t="s">
        <v>154</v>
      </c>
    </row>
    <row r="12" spans="1:6" ht="19.95" customHeight="1">
      <c r="A12" s="98">
        <v>45712</v>
      </c>
      <c r="B12" s="99" t="s">
        <v>414</v>
      </c>
      <c r="C12" s="99" t="s">
        <v>421</v>
      </c>
      <c r="D12" s="100">
        <v>400</v>
      </c>
      <c r="E12" s="99" t="s">
        <v>422</v>
      </c>
      <c r="F12" t="s">
        <v>154</v>
      </c>
    </row>
    <row r="13" spans="1:6" ht="19.95" customHeight="1">
      <c r="A13" s="98">
        <v>45720</v>
      </c>
      <c r="B13" s="99" t="s">
        <v>12</v>
      </c>
      <c r="C13" s="99" t="s">
        <v>417</v>
      </c>
      <c r="D13" s="100">
        <v>8500</v>
      </c>
      <c r="E13" s="99" t="s">
        <v>418</v>
      </c>
      <c r="F13" t="s">
        <v>154</v>
      </c>
    </row>
    <row r="14" spans="1:6" ht="19.95" customHeight="1">
      <c r="A14" s="98">
        <v>45725</v>
      </c>
      <c r="B14" s="99" t="s">
        <v>12</v>
      </c>
      <c r="C14" s="99" t="s">
        <v>419</v>
      </c>
      <c r="D14" s="100">
        <v>6500</v>
      </c>
      <c r="E14" s="99" t="s">
        <v>418</v>
      </c>
      <c r="F14" t="s">
        <v>154</v>
      </c>
    </row>
    <row r="15" spans="1:6" ht="19.95" customHeight="1">
      <c r="A15" s="98">
        <v>45716</v>
      </c>
      <c r="B15" s="99" t="s">
        <v>13</v>
      </c>
      <c r="C15" s="99" t="s">
        <v>14</v>
      </c>
      <c r="D15" s="100">
        <v>500</v>
      </c>
      <c r="E15" s="99" t="s">
        <v>420</v>
      </c>
      <c r="F15" t="s">
        <v>154</v>
      </c>
    </row>
    <row r="16" spans="1:6" ht="19.95" customHeight="1">
      <c r="A16" s="98">
        <v>45740</v>
      </c>
      <c r="B16" s="99" t="s">
        <v>414</v>
      </c>
      <c r="C16" s="99" t="s">
        <v>421</v>
      </c>
      <c r="D16" s="100">
        <v>600</v>
      </c>
      <c r="E16" s="99" t="s">
        <v>422</v>
      </c>
      <c r="F16" t="s">
        <v>154</v>
      </c>
    </row>
    <row r="17" spans="1:6" ht="19.95" customHeight="1">
      <c r="A17" s="98">
        <v>45730</v>
      </c>
      <c r="B17" s="99" t="s">
        <v>19</v>
      </c>
      <c r="C17" s="99" t="s">
        <v>21</v>
      </c>
      <c r="D17" s="100">
        <v>300</v>
      </c>
      <c r="E17" s="99" t="s">
        <v>423</v>
      </c>
      <c r="F17" t="s">
        <v>154</v>
      </c>
    </row>
    <row r="18" spans="1:6" ht="19.95" customHeight="1">
      <c r="A18" s="98">
        <v>45751</v>
      </c>
      <c r="B18" s="99" t="s">
        <v>12</v>
      </c>
      <c r="C18" s="99" t="s">
        <v>417</v>
      </c>
      <c r="D18" s="100">
        <v>8500</v>
      </c>
      <c r="E18" s="99" t="s">
        <v>418</v>
      </c>
      <c r="F18" t="s">
        <v>154</v>
      </c>
    </row>
    <row r="19" spans="1:6" ht="19.95" customHeight="1">
      <c r="A19" s="98">
        <v>45756</v>
      </c>
      <c r="B19" s="99" t="s">
        <v>12</v>
      </c>
      <c r="C19" s="99" t="s">
        <v>419</v>
      </c>
      <c r="D19" s="100">
        <v>6500</v>
      </c>
      <c r="E19" s="99" t="s">
        <v>418</v>
      </c>
      <c r="F19" t="s">
        <v>154</v>
      </c>
    </row>
    <row r="20" spans="1:6" ht="19.95" customHeight="1">
      <c r="A20" s="98">
        <v>45747</v>
      </c>
      <c r="B20" s="99" t="s">
        <v>13</v>
      </c>
      <c r="C20" s="99" t="s">
        <v>14</v>
      </c>
      <c r="D20" s="100">
        <v>500</v>
      </c>
      <c r="E20" s="99" t="s">
        <v>420</v>
      </c>
      <c r="F20" t="s">
        <v>154</v>
      </c>
    </row>
    <row r="21" spans="1:6" ht="19.95" customHeight="1">
      <c r="A21" s="98">
        <v>45771</v>
      </c>
      <c r="B21" s="99" t="s">
        <v>414</v>
      </c>
      <c r="C21" s="99" t="s">
        <v>421</v>
      </c>
      <c r="D21" s="100">
        <v>500</v>
      </c>
      <c r="E21" s="99" t="s">
        <v>422</v>
      </c>
      <c r="F21" t="s">
        <v>154</v>
      </c>
    </row>
    <row r="22" spans="1:6" ht="19.95" customHeight="1">
      <c r="A22" s="98">
        <v>45781</v>
      </c>
      <c r="B22" s="99" t="s">
        <v>12</v>
      </c>
      <c r="C22" s="99" t="s">
        <v>417</v>
      </c>
      <c r="D22" s="100">
        <v>8500</v>
      </c>
      <c r="E22" s="99" t="s">
        <v>418</v>
      </c>
      <c r="F22" t="s">
        <v>154</v>
      </c>
    </row>
    <row r="23" spans="1:6" ht="19.95" customHeight="1">
      <c r="A23" s="98">
        <v>45786</v>
      </c>
      <c r="B23" s="99" t="s">
        <v>12</v>
      </c>
      <c r="C23" s="99" t="s">
        <v>419</v>
      </c>
      <c r="D23" s="100">
        <v>6500</v>
      </c>
      <c r="E23" s="99" t="s">
        <v>418</v>
      </c>
      <c r="F23" t="s">
        <v>154</v>
      </c>
    </row>
    <row r="24" spans="1:6" ht="19.95" customHeight="1">
      <c r="A24" s="98">
        <v>45777</v>
      </c>
      <c r="B24" s="99" t="s">
        <v>13</v>
      </c>
      <c r="C24" s="99" t="s">
        <v>14</v>
      </c>
      <c r="D24" s="100">
        <v>500</v>
      </c>
      <c r="E24" s="99" t="s">
        <v>420</v>
      </c>
      <c r="F24" t="s">
        <v>154</v>
      </c>
    </row>
    <row r="25" spans="1:6" ht="19.95" customHeight="1">
      <c r="A25" s="98">
        <v>45801</v>
      </c>
      <c r="B25" s="99" t="s">
        <v>414</v>
      </c>
      <c r="C25" s="99" t="s">
        <v>421</v>
      </c>
      <c r="D25" s="100">
        <v>500</v>
      </c>
      <c r="E25" s="99" t="s">
        <v>422</v>
      </c>
      <c r="F25" t="s">
        <v>154</v>
      </c>
    </row>
    <row r="26" spans="1:6" ht="19.95" customHeight="1">
      <c r="A26" s="98">
        <v>45791</v>
      </c>
      <c r="B26" s="99" t="s">
        <v>19</v>
      </c>
      <c r="C26" s="99" t="s">
        <v>21</v>
      </c>
      <c r="D26" s="100">
        <v>150</v>
      </c>
      <c r="E26" s="99" t="s">
        <v>423</v>
      </c>
      <c r="F26" t="s">
        <v>154</v>
      </c>
    </row>
    <row r="27" spans="1:6" ht="19.95" customHeight="1">
      <c r="A27" s="98">
        <v>45812</v>
      </c>
      <c r="B27" s="99" t="s">
        <v>12</v>
      </c>
      <c r="C27" s="99" t="s">
        <v>417</v>
      </c>
      <c r="D27" s="100">
        <v>8500</v>
      </c>
      <c r="E27" s="99" t="s">
        <v>418</v>
      </c>
      <c r="F27" t="s">
        <v>154</v>
      </c>
    </row>
    <row r="28" spans="1:6" ht="19.95" customHeight="1">
      <c r="A28" s="98">
        <v>45817</v>
      </c>
      <c r="B28" s="99" t="s">
        <v>12</v>
      </c>
      <c r="C28" s="99" t="s">
        <v>419</v>
      </c>
      <c r="D28" s="100">
        <v>6500</v>
      </c>
      <c r="E28" s="99" t="s">
        <v>418</v>
      </c>
      <c r="F28" t="s">
        <v>154</v>
      </c>
    </row>
    <row r="29" spans="1:6" ht="19.95" customHeight="1">
      <c r="A29" s="98">
        <v>45808</v>
      </c>
      <c r="B29" s="99" t="s">
        <v>13</v>
      </c>
      <c r="C29" s="99" t="s">
        <v>14</v>
      </c>
      <c r="D29" s="100">
        <v>500</v>
      </c>
      <c r="E29" s="99" t="s">
        <v>420</v>
      </c>
      <c r="F29" t="s">
        <v>154</v>
      </c>
    </row>
    <row r="30" spans="1:6" ht="19.95" customHeight="1">
      <c r="A30" s="98">
        <v>45832</v>
      </c>
      <c r="B30" s="99" t="s">
        <v>414</v>
      </c>
      <c r="C30" s="99" t="s">
        <v>421</v>
      </c>
      <c r="D30" s="100">
        <v>450</v>
      </c>
      <c r="E30" s="99" t="s">
        <v>422</v>
      </c>
      <c r="F30" t="s">
        <v>154</v>
      </c>
    </row>
    <row r="31" spans="1:6" ht="19.95" customHeight="1">
      <c r="A31" s="98">
        <v>45842</v>
      </c>
      <c r="B31" s="99" t="s">
        <v>12</v>
      </c>
      <c r="C31" s="99" t="s">
        <v>417</v>
      </c>
      <c r="D31" s="100">
        <v>8500</v>
      </c>
      <c r="E31" s="99" t="s">
        <v>418</v>
      </c>
      <c r="F31" t="s">
        <v>154</v>
      </c>
    </row>
    <row r="32" spans="1:6" ht="19.95" customHeight="1">
      <c r="A32" s="98">
        <v>45847</v>
      </c>
      <c r="B32" s="99" t="s">
        <v>12</v>
      </c>
      <c r="C32" s="99" t="s">
        <v>419</v>
      </c>
      <c r="D32" s="100">
        <v>6500</v>
      </c>
      <c r="E32" s="99" t="s">
        <v>418</v>
      </c>
      <c r="F32" t="s">
        <v>154</v>
      </c>
    </row>
    <row r="33" spans="1:6" ht="19.95" customHeight="1">
      <c r="A33" s="98">
        <v>45838</v>
      </c>
      <c r="B33" s="99" t="s">
        <v>13</v>
      </c>
      <c r="C33" s="99" t="s">
        <v>14</v>
      </c>
      <c r="D33" s="100">
        <v>500</v>
      </c>
      <c r="E33" s="99" t="s">
        <v>420</v>
      </c>
      <c r="F33" t="s">
        <v>154</v>
      </c>
    </row>
    <row r="34" spans="1:6" ht="19.95" customHeight="1">
      <c r="A34" s="98">
        <v>45862</v>
      </c>
      <c r="B34" s="99" t="s">
        <v>414</v>
      </c>
      <c r="C34" s="99" t="s">
        <v>421</v>
      </c>
      <c r="D34" s="100">
        <v>500</v>
      </c>
      <c r="E34" s="99" t="s">
        <v>422</v>
      </c>
      <c r="F34" t="s">
        <v>154</v>
      </c>
    </row>
    <row r="35" spans="1:6" ht="19.95" customHeight="1">
      <c r="A35" s="98">
        <v>45873</v>
      </c>
      <c r="B35" s="99" t="s">
        <v>12</v>
      </c>
      <c r="C35" s="99" t="s">
        <v>417</v>
      </c>
      <c r="D35" s="100">
        <v>8500</v>
      </c>
      <c r="E35" s="99" t="s">
        <v>418</v>
      </c>
      <c r="F35" t="s">
        <v>154</v>
      </c>
    </row>
    <row r="36" spans="1:6" ht="19.95" customHeight="1">
      <c r="A36" s="98">
        <v>45878</v>
      </c>
      <c r="B36" s="99" t="s">
        <v>12</v>
      </c>
      <c r="C36" s="99" t="s">
        <v>419</v>
      </c>
      <c r="D36" s="100">
        <v>6500</v>
      </c>
      <c r="E36" s="99" t="s">
        <v>418</v>
      </c>
      <c r="F36" t="s">
        <v>154</v>
      </c>
    </row>
    <row r="37" spans="1:6" ht="19.95" customHeight="1">
      <c r="A37" s="98">
        <v>45869</v>
      </c>
      <c r="B37" s="99" t="s">
        <v>13</v>
      </c>
      <c r="C37" s="99" t="s">
        <v>14</v>
      </c>
      <c r="D37" s="100">
        <v>500</v>
      </c>
      <c r="E37" s="99" t="s">
        <v>420</v>
      </c>
      <c r="F37" t="s">
        <v>154</v>
      </c>
    </row>
    <row r="38" spans="1:6" ht="19.95" customHeight="1">
      <c r="A38" s="98">
        <v>45893</v>
      </c>
      <c r="B38" s="99" t="s">
        <v>414</v>
      </c>
      <c r="C38" s="99" t="s">
        <v>421</v>
      </c>
      <c r="D38" s="100">
        <v>500</v>
      </c>
      <c r="E38" s="99" t="s">
        <v>422</v>
      </c>
      <c r="F38" t="s">
        <v>154</v>
      </c>
    </row>
    <row r="39" spans="1:6" ht="19.95" customHeight="1">
      <c r="A39" s="98">
        <v>45883</v>
      </c>
      <c r="B39" s="99" t="s">
        <v>19</v>
      </c>
      <c r="C39" s="99" t="s">
        <v>21</v>
      </c>
      <c r="D39" s="100">
        <v>250</v>
      </c>
      <c r="E39" s="99" t="s">
        <v>423</v>
      </c>
      <c r="F39" t="s">
        <v>154</v>
      </c>
    </row>
    <row r="40" spans="1:6" ht="19.95" customHeight="1">
      <c r="A40" s="98">
        <v>45904</v>
      </c>
      <c r="B40" s="99" t="s">
        <v>12</v>
      </c>
      <c r="C40" s="99" t="s">
        <v>417</v>
      </c>
      <c r="D40" s="100">
        <v>8500</v>
      </c>
      <c r="E40" s="99" t="s">
        <v>418</v>
      </c>
      <c r="F40" t="s">
        <v>154</v>
      </c>
    </row>
    <row r="41" spans="1:6" ht="19.95" customHeight="1">
      <c r="A41" s="98">
        <v>45909</v>
      </c>
      <c r="B41" s="99" t="s">
        <v>12</v>
      </c>
      <c r="C41" s="99" t="s">
        <v>419</v>
      </c>
      <c r="D41" s="100">
        <v>6500</v>
      </c>
      <c r="E41" s="99" t="s">
        <v>418</v>
      </c>
      <c r="F41" t="s">
        <v>154</v>
      </c>
    </row>
    <row r="42" spans="1:6" ht="19.95" customHeight="1">
      <c r="A42" s="98">
        <v>45900</v>
      </c>
      <c r="B42" s="99" t="s">
        <v>13</v>
      </c>
      <c r="C42" s="99" t="s">
        <v>14</v>
      </c>
      <c r="D42" s="100">
        <v>500</v>
      </c>
      <c r="E42" s="99" t="s">
        <v>420</v>
      </c>
      <c r="F42" t="s">
        <v>154</v>
      </c>
    </row>
    <row r="43" spans="1:6" ht="19.95" customHeight="1">
      <c r="A43" s="98">
        <v>45924</v>
      </c>
      <c r="B43" s="99" t="s">
        <v>414</v>
      </c>
      <c r="C43" s="99" t="s">
        <v>421</v>
      </c>
      <c r="D43" s="100">
        <v>550</v>
      </c>
      <c r="E43" s="99" t="s">
        <v>422</v>
      </c>
      <c r="F43" t="s">
        <v>154</v>
      </c>
    </row>
    <row r="44" spans="1:6" ht="19.95" customHeight="1">
      <c r="A44" s="98">
        <v>45934</v>
      </c>
      <c r="B44" s="99" t="s">
        <v>12</v>
      </c>
      <c r="C44" s="99" t="s">
        <v>417</v>
      </c>
      <c r="D44" s="100">
        <v>8500</v>
      </c>
      <c r="E44" s="99" t="s">
        <v>418</v>
      </c>
      <c r="F44" t="s">
        <v>154</v>
      </c>
    </row>
    <row r="45" spans="1:6" ht="19.95" customHeight="1">
      <c r="A45" s="98">
        <v>45939</v>
      </c>
      <c r="B45" s="99" t="s">
        <v>12</v>
      </c>
      <c r="C45" s="99" t="s">
        <v>419</v>
      </c>
      <c r="D45" s="100">
        <v>6500</v>
      </c>
      <c r="E45" s="99" t="s">
        <v>418</v>
      </c>
      <c r="F45" t="s">
        <v>154</v>
      </c>
    </row>
    <row r="46" spans="1:6" ht="19.95" customHeight="1">
      <c r="A46" s="98">
        <v>45930</v>
      </c>
      <c r="B46" s="99" t="s">
        <v>13</v>
      </c>
      <c r="C46" s="99" t="s">
        <v>14</v>
      </c>
      <c r="D46" s="100">
        <v>500</v>
      </c>
      <c r="E46" s="99" t="s">
        <v>420</v>
      </c>
      <c r="F46" t="s">
        <v>154</v>
      </c>
    </row>
    <row r="47" spans="1:6" ht="19.95" customHeight="1">
      <c r="A47" s="98">
        <v>45954</v>
      </c>
      <c r="B47" s="99" t="s">
        <v>414</v>
      </c>
      <c r="C47" s="99" t="s">
        <v>421</v>
      </c>
      <c r="D47" s="100">
        <v>500</v>
      </c>
      <c r="E47" s="99" t="s">
        <v>422</v>
      </c>
      <c r="F47" t="s">
        <v>154</v>
      </c>
    </row>
    <row r="48" spans="1:6" ht="19.95" customHeight="1">
      <c r="A48" s="98">
        <v>45965</v>
      </c>
      <c r="B48" s="99" t="s">
        <v>12</v>
      </c>
      <c r="C48" s="99" t="s">
        <v>417</v>
      </c>
      <c r="D48" s="100">
        <v>8500</v>
      </c>
      <c r="E48" s="99" t="s">
        <v>418</v>
      </c>
      <c r="F48" t="s">
        <v>154</v>
      </c>
    </row>
    <row r="49" spans="1:6" ht="19.95" customHeight="1">
      <c r="A49" s="98">
        <v>45970</v>
      </c>
      <c r="B49" s="99" t="s">
        <v>12</v>
      </c>
      <c r="C49" s="99" t="s">
        <v>419</v>
      </c>
      <c r="D49" s="100">
        <v>6500</v>
      </c>
      <c r="E49" s="99" t="s">
        <v>418</v>
      </c>
      <c r="F49" t="s">
        <v>154</v>
      </c>
    </row>
    <row r="50" spans="1:6" ht="19.95" customHeight="1">
      <c r="A50" s="98">
        <v>45961</v>
      </c>
      <c r="B50" s="99" t="s">
        <v>13</v>
      </c>
      <c r="C50" s="99" t="s">
        <v>14</v>
      </c>
      <c r="D50" s="100">
        <v>500</v>
      </c>
      <c r="E50" s="99" t="s">
        <v>420</v>
      </c>
      <c r="F50" t="s">
        <v>154</v>
      </c>
    </row>
    <row r="51" spans="1:6" ht="19.95" customHeight="1">
      <c r="A51" s="98">
        <v>45985</v>
      </c>
      <c r="B51" s="99" t="s">
        <v>414</v>
      </c>
      <c r="C51" s="99" t="s">
        <v>421</v>
      </c>
      <c r="D51" s="100">
        <v>500</v>
      </c>
      <c r="E51" s="99" t="s">
        <v>422</v>
      </c>
      <c r="F51" t="s">
        <v>154</v>
      </c>
    </row>
    <row r="52" spans="1:6" ht="19.95" customHeight="1">
      <c r="A52" s="98">
        <v>45975</v>
      </c>
      <c r="B52" s="99" t="s">
        <v>19</v>
      </c>
      <c r="C52" s="99" t="s">
        <v>21</v>
      </c>
      <c r="D52" s="100">
        <v>500</v>
      </c>
      <c r="E52" s="99" t="s">
        <v>423</v>
      </c>
      <c r="F52" t="s">
        <v>154</v>
      </c>
    </row>
    <row r="53" spans="1:6" ht="19.95" customHeight="1">
      <c r="A53" s="98">
        <v>45995</v>
      </c>
      <c r="B53" s="99" t="s">
        <v>12</v>
      </c>
      <c r="C53" s="99" t="s">
        <v>417</v>
      </c>
      <c r="D53" s="100">
        <v>8500</v>
      </c>
      <c r="E53" s="99" t="s">
        <v>418</v>
      </c>
      <c r="F53" t="s">
        <v>154</v>
      </c>
    </row>
    <row r="54" spans="1:6" ht="19.95" customHeight="1">
      <c r="A54" s="98">
        <v>46000</v>
      </c>
      <c r="B54" s="99" t="s">
        <v>12</v>
      </c>
      <c r="C54" s="99" t="s">
        <v>419</v>
      </c>
      <c r="D54" s="100">
        <v>6500</v>
      </c>
      <c r="E54" s="99" t="s">
        <v>418</v>
      </c>
      <c r="F54" t="s">
        <v>154</v>
      </c>
    </row>
    <row r="55" spans="1:6" ht="19.95" customHeight="1">
      <c r="A55" s="98">
        <v>45991</v>
      </c>
      <c r="B55" s="99" t="s">
        <v>13</v>
      </c>
      <c r="C55" s="99" t="s">
        <v>14</v>
      </c>
      <c r="D55" s="100">
        <v>500</v>
      </c>
      <c r="E55" s="99" t="s">
        <v>420</v>
      </c>
      <c r="F55" t="s">
        <v>154</v>
      </c>
    </row>
    <row r="56" spans="1:6" ht="19.95" customHeight="1">
      <c r="A56" s="98">
        <v>46015</v>
      </c>
      <c r="B56" s="99" t="s">
        <v>414</v>
      </c>
      <c r="C56" s="99" t="s">
        <v>421</v>
      </c>
      <c r="D56" s="100">
        <v>600</v>
      </c>
      <c r="E56" s="99" t="s">
        <v>422</v>
      </c>
      <c r="F56" t="s">
        <v>154</v>
      </c>
    </row>
    <row r="57" spans="1:6" ht="19.95" customHeight="1">
      <c r="A57" s="98">
        <v>46005</v>
      </c>
      <c r="B57" s="99" t="s">
        <v>19</v>
      </c>
      <c r="C57" s="99" t="s">
        <v>21</v>
      </c>
      <c r="D57" s="100">
        <v>1000</v>
      </c>
      <c r="E57" s="99" t="s">
        <v>423</v>
      </c>
      <c r="F57" t="s">
        <v>154</v>
      </c>
    </row>
    <row r="58" spans="1:6" ht="19.95" customHeight="1">
      <c r="A58" s="98"/>
      <c r="B58" s="99"/>
      <c r="C58" s="99"/>
      <c r="D58" s="100"/>
      <c r="E58" s="99"/>
    </row>
    <row r="59" spans="1:6" ht="19.95" customHeight="1">
      <c r="A59" s="98"/>
      <c r="B59" s="99"/>
      <c r="C59" s="99"/>
      <c r="D59" s="100"/>
      <c r="E59" s="99"/>
    </row>
    <row r="60" spans="1:6" ht="19.95" customHeight="1">
      <c r="A60" s="98"/>
      <c r="B60" s="99"/>
      <c r="C60" s="99"/>
      <c r="D60" s="100"/>
      <c r="E60" s="99"/>
    </row>
    <row r="61" spans="1:6" ht="19.95" customHeight="1">
      <c r="A61" s="98"/>
      <c r="B61" s="99"/>
      <c r="C61" s="99"/>
      <c r="D61" s="100"/>
      <c r="E61" s="99"/>
    </row>
    <row r="62" spans="1:6" ht="19.95" customHeight="1">
      <c r="A62" s="98"/>
      <c r="B62" s="99"/>
      <c r="C62" s="99"/>
      <c r="D62" s="100"/>
      <c r="E62" s="99"/>
    </row>
    <row r="63" spans="1:6" ht="19.95" customHeight="1">
      <c r="A63" s="98"/>
      <c r="B63" s="99"/>
      <c r="C63" s="99"/>
      <c r="D63" s="100"/>
      <c r="E63" s="99"/>
    </row>
    <row r="64" spans="1:6" ht="19.95" customHeight="1">
      <c r="A64" s="98"/>
      <c r="B64" s="99"/>
      <c r="C64" s="99"/>
      <c r="D64" s="100"/>
      <c r="E64" s="99"/>
    </row>
    <row r="65" spans="1:5" ht="19.95" customHeight="1">
      <c r="A65" s="98"/>
      <c r="B65" s="99"/>
      <c r="C65" s="99"/>
      <c r="D65" s="100"/>
      <c r="E65" s="99"/>
    </row>
    <row r="66" spans="1:5" ht="19.95" customHeight="1">
      <c r="A66" s="98"/>
      <c r="B66" s="99"/>
      <c r="C66" s="99"/>
      <c r="D66" s="100"/>
      <c r="E66" s="99"/>
    </row>
    <row r="67" spans="1:5" ht="19.95" customHeight="1">
      <c r="A67" s="98"/>
      <c r="B67" s="99"/>
      <c r="C67" s="99"/>
      <c r="D67" s="100"/>
      <c r="E67" s="99"/>
    </row>
    <row r="68" spans="1:5" ht="19.95" customHeight="1">
      <c r="A68" s="98"/>
      <c r="B68" s="99"/>
      <c r="C68" s="99"/>
      <c r="D68" s="100"/>
      <c r="E68" s="99"/>
    </row>
    <row r="69" spans="1:5" ht="19.95" customHeight="1">
      <c r="A69" s="98"/>
      <c r="B69" s="99"/>
      <c r="C69" s="99"/>
      <c r="D69" s="100"/>
      <c r="E69" s="99"/>
    </row>
    <row r="70" spans="1:5" ht="19.95" customHeight="1">
      <c r="A70" s="98"/>
      <c r="B70" s="99"/>
      <c r="C70" s="99"/>
      <c r="D70" s="100"/>
      <c r="E70" s="99"/>
    </row>
    <row r="71" spans="1:5" ht="19.95" customHeight="1">
      <c r="A71" s="98"/>
      <c r="B71" s="99"/>
      <c r="C71" s="99"/>
      <c r="D71" s="100"/>
      <c r="E71" s="99"/>
    </row>
    <row r="72" spans="1:5" ht="19.95" customHeight="1">
      <c r="A72" s="98"/>
      <c r="B72" s="99"/>
      <c r="C72" s="99"/>
      <c r="D72" s="100"/>
      <c r="E72" s="99"/>
    </row>
    <row r="73" spans="1:5" ht="19.95" customHeight="1">
      <c r="A73" s="98"/>
      <c r="B73" s="99"/>
      <c r="C73" s="99"/>
      <c r="D73" s="100"/>
      <c r="E73" s="99"/>
    </row>
    <row r="74" spans="1:5" ht="19.95" customHeight="1">
      <c r="A74" s="98"/>
      <c r="B74" s="99"/>
      <c r="C74" s="99"/>
      <c r="D74" s="100"/>
      <c r="E74" s="99"/>
    </row>
    <row r="75" spans="1:5" ht="19.95" customHeight="1">
      <c r="A75" s="98"/>
      <c r="B75" s="99"/>
      <c r="C75" s="99"/>
      <c r="D75" s="100"/>
      <c r="E75" s="99"/>
    </row>
    <row r="76" spans="1:5" ht="19.95" customHeight="1">
      <c r="A76" s="98"/>
      <c r="B76" s="99"/>
      <c r="C76" s="99"/>
      <c r="D76" s="100"/>
      <c r="E76" s="99"/>
    </row>
    <row r="77" spans="1:5" ht="19.95" customHeight="1">
      <c r="A77" s="98"/>
      <c r="B77" s="99"/>
      <c r="C77" s="99"/>
      <c r="D77" s="100"/>
      <c r="E77" s="99"/>
    </row>
    <row r="78" spans="1:5" ht="19.95" customHeight="1">
      <c r="A78" s="98"/>
      <c r="B78" s="99"/>
      <c r="C78" s="99"/>
      <c r="D78" s="100"/>
      <c r="E78" s="99"/>
    </row>
    <row r="79" spans="1:5" ht="19.95" customHeight="1">
      <c r="A79" s="98"/>
      <c r="B79" s="99"/>
      <c r="C79" s="99"/>
      <c r="D79" s="100"/>
      <c r="E79" s="99"/>
    </row>
    <row r="80" spans="1:5" ht="19.95" customHeight="1">
      <c r="A80" s="98"/>
      <c r="B80" s="99"/>
      <c r="C80" s="99"/>
      <c r="D80" s="100"/>
      <c r="E80" s="99"/>
    </row>
    <row r="81" spans="1:5" ht="19.95" customHeight="1">
      <c r="A81" s="98"/>
      <c r="B81" s="99"/>
      <c r="C81" s="99"/>
      <c r="D81" s="100"/>
      <c r="E81" s="99"/>
    </row>
    <row r="82" spans="1:5" ht="19.95" customHeight="1">
      <c r="A82" s="98"/>
      <c r="B82" s="99"/>
      <c r="C82" s="99"/>
      <c r="D82" s="100"/>
      <c r="E82" s="99"/>
    </row>
    <row r="83" spans="1:5" ht="19.95" customHeight="1">
      <c r="A83" s="98"/>
      <c r="B83" s="99"/>
      <c r="C83" s="99"/>
      <c r="D83" s="100"/>
      <c r="E83" s="99"/>
    </row>
    <row r="84" spans="1:5" ht="19.95" customHeight="1">
      <c r="A84" s="98"/>
      <c r="B84" s="99"/>
      <c r="C84" s="99"/>
      <c r="D84" s="100"/>
      <c r="E84" s="99"/>
    </row>
    <row r="85" spans="1:5" ht="19.95" customHeight="1">
      <c r="A85" s="98"/>
      <c r="B85" s="99"/>
      <c r="C85" s="99"/>
      <c r="D85" s="100"/>
      <c r="E85" s="99"/>
    </row>
    <row r="86" spans="1:5" ht="19.95" customHeight="1">
      <c r="A86" s="98"/>
      <c r="B86" s="99"/>
      <c r="C86" s="99"/>
      <c r="D86" s="100"/>
      <c r="E86" s="99"/>
    </row>
    <row r="87" spans="1:5" ht="19.95" customHeight="1">
      <c r="A87" s="98"/>
      <c r="B87" s="99"/>
      <c r="C87" s="99"/>
      <c r="D87" s="100"/>
      <c r="E87" s="99"/>
    </row>
    <row r="88" spans="1:5" ht="19.95" customHeight="1">
      <c r="A88" s="98"/>
      <c r="B88" s="99"/>
      <c r="C88" s="99"/>
      <c r="D88" s="100"/>
      <c r="E88" s="99"/>
    </row>
    <row r="89" spans="1:5" ht="19.95" customHeight="1">
      <c r="A89" s="98"/>
      <c r="B89" s="99"/>
      <c r="C89" s="99"/>
      <c r="D89" s="100"/>
      <c r="E89" s="99"/>
    </row>
    <row r="90" spans="1:5" ht="19.95" customHeight="1">
      <c r="A90" s="98"/>
      <c r="B90" s="99"/>
      <c r="C90" s="99"/>
      <c r="D90" s="100"/>
      <c r="E90" s="99"/>
    </row>
    <row r="91" spans="1:5" ht="19.95" customHeight="1">
      <c r="A91" s="98"/>
      <c r="B91" s="99"/>
      <c r="C91" s="99"/>
      <c r="D91" s="100"/>
      <c r="E91" s="99"/>
    </row>
    <row r="92" spans="1:5" ht="19.95" customHeight="1">
      <c r="A92" s="98"/>
      <c r="B92" s="99"/>
      <c r="C92" s="99"/>
      <c r="D92" s="100"/>
      <c r="E92" s="99"/>
    </row>
    <row r="93" spans="1:5" ht="19.95" customHeight="1">
      <c r="A93" s="98"/>
      <c r="B93" s="99"/>
      <c r="C93" s="99"/>
      <c r="D93" s="100"/>
      <c r="E93" s="99"/>
    </row>
    <row r="94" spans="1:5" ht="19.95" customHeight="1">
      <c r="A94" s="98"/>
      <c r="B94" s="99"/>
      <c r="C94" s="99"/>
      <c r="D94" s="100"/>
      <c r="E94" s="99"/>
    </row>
    <row r="95" spans="1:5" ht="19.95" customHeight="1">
      <c r="A95" s="98"/>
      <c r="B95" s="99"/>
      <c r="C95" s="99"/>
      <c r="D95" s="100"/>
      <c r="E95" s="99"/>
    </row>
    <row r="96" spans="1:5" ht="19.95" customHeight="1">
      <c r="A96" s="98"/>
      <c r="B96" s="99"/>
      <c r="C96" s="99"/>
      <c r="D96" s="100"/>
      <c r="E96" s="99"/>
    </row>
    <row r="97" spans="1:5" ht="19.95" customHeight="1">
      <c r="A97" s="98"/>
      <c r="B97" s="99"/>
      <c r="C97" s="99"/>
      <c r="D97" s="100"/>
      <c r="E97" s="99"/>
    </row>
    <row r="98" spans="1:5" ht="19.95" customHeight="1">
      <c r="A98" s="98"/>
      <c r="B98" s="99"/>
      <c r="C98" s="99"/>
      <c r="D98" s="100"/>
      <c r="E98" s="99"/>
    </row>
    <row r="99" spans="1:5" ht="19.95" customHeight="1">
      <c r="A99" s="98"/>
      <c r="B99" s="99"/>
      <c r="C99" s="99"/>
      <c r="D99" s="100"/>
      <c r="E99" s="99"/>
    </row>
    <row r="100" spans="1:5" ht="19.95" customHeight="1">
      <c r="A100" s="98"/>
      <c r="B100" s="99"/>
      <c r="C100" s="99"/>
      <c r="D100" s="100"/>
      <c r="E100" s="99"/>
    </row>
    <row r="101" spans="1:5" ht="19.95" customHeight="1">
      <c r="A101" s="98"/>
      <c r="B101" s="99"/>
      <c r="C101" s="99"/>
      <c r="D101" s="100"/>
      <c r="E101" s="99"/>
    </row>
    <row r="102" spans="1:5" ht="19.95" customHeight="1">
      <c r="A102" s="98"/>
      <c r="B102" s="99"/>
      <c r="C102" s="99"/>
      <c r="D102" s="100"/>
      <c r="E102" s="99"/>
    </row>
    <row r="103" spans="1:5" ht="19.95" customHeight="1">
      <c r="A103" s="98"/>
      <c r="B103" s="99"/>
      <c r="C103" s="99"/>
      <c r="D103" s="100"/>
      <c r="E103" s="99"/>
    </row>
    <row r="104" spans="1:5" ht="19.95" customHeight="1">
      <c r="A104" s="98"/>
      <c r="B104" s="99"/>
      <c r="C104" s="99"/>
      <c r="D104" s="100"/>
      <c r="E104" s="99"/>
    </row>
    <row r="105" spans="1:5" ht="19.95" customHeight="1">
      <c r="A105" s="98"/>
      <c r="B105" s="99"/>
      <c r="C105" s="99"/>
      <c r="D105" s="100"/>
      <c r="E105" s="99"/>
    </row>
    <row r="106" spans="1:5" ht="19.95" customHeight="1">
      <c r="A106" s="98"/>
      <c r="B106" s="99"/>
      <c r="C106" s="99"/>
      <c r="D106" s="100"/>
      <c r="E106" s="99"/>
    </row>
    <row r="107" spans="1:5" ht="19.95" customHeight="1">
      <c r="A107" s="98"/>
      <c r="B107" s="99"/>
      <c r="C107" s="99"/>
      <c r="D107" s="100"/>
      <c r="E107" s="99"/>
    </row>
    <row r="108" spans="1:5" ht="19.95" customHeight="1">
      <c r="A108" s="98"/>
      <c r="B108" s="99"/>
      <c r="C108" s="99"/>
      <c r="D108" s="100"/>
      <c r="E108" s="99"/>
    </row>
    <row r="109" spans="1:5" ht="19.95" customHeight="1">
      <c r="A109" s="98"/>
      <c r="B109" s="99"/>
      <c r="C109" s="99"/>
      <c r="D109" s="100"/>
      <c r="E109" s="99"/>
    </row>
    <row r="110" spans="1:5" ht="19.95" customHeight="1">
      <c r="A110" s="98"/>
      <c r="B110" s="99"/>
      <c r="C110" s="99"/>
      <c r="D110" s="100"/>
      <c r="E110" s="99"/>
    </row>
    <row r="111" spans="1:5" ht="19.95" customHeight="1">
      <c r="A111" s="98"/>
      <c r="B111" s="99"/>
      <c r="C111" s="99"/>
      <c r="D111" s="100"/>
      <c r="E111" s="99"/>
    </row>
    <row r="112" spans="1:5" ht="19.95" customHeight="1">
      <c r="A112" s="98"/>
      <c r="B112" s="99"/>
      <c r="C112" s="99"/>
      <c r="D112" s="100"/>
      <c r="E112" s="99"/>
    </row>
    <row r="113" spans="1:5" ht="19.95" customHeight="1">
      <c r="A113" s="98"/>
      <c r="B113" s="99"/>
      <c r="C113" s="99"/>
      <c r="D113" s="100"/>
      <c r="E113" s="99"/>
    </row>
    <row r="114" spans="1:5" ht="19.95" customHeight="1">
      <c r="A114" s="98"/>
      <c r="B114" s="99"/>
      <c r="C114" s="99"/>
      <c r="D114" s="100"/>
      <c r="E114" s="99"/>
    </row>
    <row r="115" spans="1:5" ht="19.95" customHeight="1">
      <c r="A115" s="98"/>
      <c r="B115" s="99"/>
      <c r="C115" s="99"/>
      <c r="D115" s="100"/>
      <c r="E115" s="99"/>
    </row>
    <row r="116" spans="1:5" ht="19.95" customHeight="1">
      <c r="A116" s="98"/>
      <c r="B116" s="99"/>
      <c r="C116" s="99"/>
      <c r="D116" s="100"/>
      <c r="E116" s="99"/>
    </row>
    <row r="117" spans="1:5" ht="19.95" customHeight="1">
      <c r="A117" s="98"/>
      <c r="B117" s="99"/>
      <c r="C117" s="99"/>
      <c r="D117" s="100"/>
      <c r="E117" s="99"/>
    </row>
    <row r="118" spans="1:5" ht="19.95" customHeight="1">
      <c r="A118" s="98"/>
      <c r="B118" s="99"/>
      <c r="C118" s="99"/>
      <c r="D118" s="100"/>
      <c r="E118" s="99"/>
    </row>
    <row r="119" spans="1:5" ht="19.95" customHeight="1">
      <c r="A119" s="98"/>
      <c r="B119" s="99"/>
      <c r="C119" s="99"/>
      <c r="D119" s="100"/>
      <c r="E119" s="99"/>
    </row>
    <row r="120" spans="1:5" ht="19.95" customHeight="1">
      <c r="A120" s="98"/>
      <c r="B120" s="99"/>
      <c r="C120" s="99"/>
      <c r="D120" s="100"/>
      <c r="E120" s="99"/>
    </row>
    <row r="121" spans="1:5" ht="19.95" customHeight="1">
      <c r="A121" s="98"/>
      <c r="B121" s="99"/>
      <c r="C121" s="99"/>
      <c r="D121" s="100"/>
      <c r="E121" s="99"/>
    </row>
    <row r="122" spans="1:5" ht="19.95" customHeight="1">
      <c r="A122" s="98"/>
      <c r="B122" s="99"/>
      <c r="C122" s="99"/>
      <c r="D122" s="100"/>
      <c r="E122" s="99"/>
    </row>
    <row r="123" spans="1:5" ht="19.95" customHeight="1">
      <c r="A123" s="98"/>
      <c r="B123" s="99"/>
      <c r="C123" s="99"/>
      <c r="D123" s="100"/>
      <c r="E123" s="99"/>
    </row>
    <row r="124" spans="1:5" ht="19.95" customHeight="1">
      <c r="A124" s="98"/>
      <c r="B124" s="99"/>
      <c r="C124" s="99"/>
      <c r="D124" s="100"/>
      <c r="E124" s="99"/>
    </row>
    <row r="125" spans="1:5" ht="19.95" customHeight="1">
      <c r="A125" s="98"/>
      <c r="B125" s="99"/>
      <c r="C125" s="99"/>
      <c r="D125" s="100"/>
      <c r="E125" s="99"/>
    </row>
    <row r="126" spans="1:5" ht="19.95" customHeight="1">
      <c r="A126" s="98"/>
      <c r="B126" s="99"/>
      <c r="C126" s="99"/>
      <c r="D126" s="100"/>
      <c r="E126" s="99"/>
    </row>
    <row r="127" spans="1:5" ht="19.95" customHeight="1">
      <c r="A127" s="98"/>
      <c r="B127" s="99"/>
      <c r="C127" s="99"/>
      <c r="D127" s="100"/>
      <c r="E127" s="99"/>
    </row>
    <row r="128" spans="1:5" ht="19.95" customHeight="1">
      <c r="A128" s="98"/>
      <c r="B128" s="99"/>
      <c r="C128" s="99"/>
      <c r="D128" s="100"/>
      <c r="E128" s="99"/>
    </row>
    <row r="129" spans="1:5" ht="19.95" customHeight="1">
      <c r="A129" s="98"/>
      <c r="B129" s="99"/>
      <c r="C129" s="99"/>
      <c r="D129" s="100"/>
      <c r="E129" s="99"/>
    </row>
    <row r="130" spans="1:5" ht="19.95" customHeight="1">
      <c r="A130" s="98"/>
      <c r="B130" s="99"/>
      <c r="C130" s="99"/>
      <c r="D130" s="100"/>
      <c r="E130" s="99"/>
    </row>
    <row r="131" spans="1:5" ht="19.95" customHeight="1">
      <c r="A131" s="98"/>
      <c r="B131" s="99"/>
      <c r="C131" s="99"/>
      <c r="D131" s="100"/>
      <c r="E131" s="99"/>
    </row>
    <row r="132" spans="1:5" ht="19.95" customHeight="1">
      <c r="A132" s="98"/>
      <c r="B132" s="99"/>
      <c r="C132" s="99"/>
      <c r="D132" s="100"/>
      <c r="E132" s="99"/>
    </row>
    <row r="133" spans="1:5" ht="19.95" customHeight="1">
      <c r="A133" s="98"/>
      <c r="B133" s="99"/>
      <c r="C133" s="99"/>
      <c r="D133" s="100"/>
      <c r="E133" s="99"/>
    </row>
    <row r="134" spans="1:5" ht="19.95" customHeight="1">
      <c r="A134" s="98"/>
      <c r="B134" s="99"/>
      <c r="C134" s="99"/>
      <c r="D134" s="100"/>
      <c r="E134" s="99"/>
    </row>
    <row r="135" spans="1:5" ht="19.95" customHeight="1">
      <c r="A135" s="98"/>
      <c r="B135" s="99"/>
      <c r="C135" s="99"/>
      <c r="D135" s="100"/>
      <c r="E135" s="99"/>
    </row>
    <row r="136" spans="1:5" ht="19.95" customHeight="1">
      <c r="A136" s="98"/>
      <c r="B136" s="99"/>
      <c r="C136" s="99"/>
      <c r="D136" s="100"/>
      <c r="E136" s="99"/>
    </row>
    <row r="137" spans="1:5" ht="19.95" customHeight="1">
      <c r="A137" s="98"/>
      <c r="B137" s="99"/>
      <c r="C137" s="99"/>
      <c r="D137" s="100"/>
      <c r="E137" s="99"/>
    </row>
    <row r="138" spans="1:5" ht="19.95" customHeight="1">
      <c r="A138" s="98"/>
      <c r="B138" s="99"/>
      <c r="C138" s="99"/>
      <c r="D138" s="100"/>
      <c r="E138" s="99"/>
    </row>
    <row r="139" spans="1:5" ht="19.95" customHeight="1">
      <c r="A139" s="98"/>
      <c r="B139" s="99"/>
      <c r="C139" s="99"/>
      <c r="D139" s="100"/>
      <c r="E139" s="99"/>
    </row>
    <row r="140" spans="1:5" ht="19.95" customHeight="1">
      <c r="A140" s="98"/>
      <c r="B140" s="99"/>
      <c r="C140" s="99"/>
      <c r="D140" s="100"/>
      <c r="E140" s="99"/>
    </row>
    <row r="141" spans="1:5" ht="19.95" customHeight="1">
      <c r="A141" s="98"/>
      <c r="B141" s="99"/>
      <c r="C141" s="99"/>
      <c r="D141" s="100"/>
      <c r="E141" s="99"/>
    </row>
    <row r="142" spans="1:5" ht="19.95" customHeight="1">
      <c r="A142" s="98"/>
      <c r="B142" s="99"/>
      <c r="C142" s="99"/>
      <c r="D142" s="100"/>
      <c r="E142" s="99"/>
    </row>
    <row r="143" spans="1:5" ht="19.95" customHeight="1">
      <c r="A143" s="98"/>
      <c r="B143" s="99"/>
      <c r="C143" s="99"/>
      <c r="D143" s="100"/>
      <c r="E143" s="99"/>
    </row>
    <row r="144" spans="1:5" ht="19.95" customHeight="1">
      <c r="A144" s="98"/>
      <c r="B144" s="99"/>
      <c r="C144" s="99"/>
      <c r="D144" s="100"/>
      <c r="E144" s="99"/>
    </row>
    <row r="145" spans="1:6" ht="19.95" customHeight="1">
      <c r="A145" s="98"/>
      <c r="B145" s="99"/>
      <c r="C145" s="99"/>
      <c r="D145" s="100"/>
      <c r="E145" s="99"/>
    </row>
    <row r="146" spans="1:6" ht="19.95" customHeight="1">
      <c r="A146" s="98"/>
      <c r="B146" s="99"/>
      <c r="C146" s="99"/>
      <c r="D146" s="100"/>
      <c r="E146" s="99"/>
    </row>
    <row r="147" spans="1:6" ht="19.95" customHeight="1">
      <c r="A147" s="98"/>
      <c r="B147" s="99"/>
      <c r="C147" s="99"/>
      <c r="D147" s="100"/>
      <c r="E147" s="99"/>
    </row>
    <row r="148" spans="1:6" ht="19.95" customHeight="1">
      <c r="A148" s="98"/>
      <c r="B148" s="99"/>
      <c r="C148" s="99"/>
      <c r="D148" s="100"/>
      <c r="E148" s="99"/>
    </row>
    <row r="149" spans="1:6" ht="19.95" customHeight="1">
      <c r="A149" s="98"/>
      <c r="B149" s="99"/>
      <c r="C149" s="99"/>
      <c r="D149" s="100"/>
      <c r="E149" s="99"/>
    </row>
    <row r="150" spans="1:6">
      <c r="A150" s="107"/>
      <c r="B150" s="108"/>
      <c r="C150" s="108"/>
      <c r="D150" s="109"/>
      <c r="E150" s="108"/>
      <c r="F150" s="108"/>
    </row>
    <row r="151" spans="1:6">
      <c r="A151" s="107"/>
      <c r="B151" s="108"/>
      <c r="C151" s="108"/>
      <c r="D151" s="109"/>
      <c r="E151" s="108"/>
      <c r="F151" s="108"/>
    </row>
    <row r="152" spans="1:6">
      <c r="A152" s="107"/>
      <c r="B152" s="108"/>
      <c r="C152" s="108"/>
      <c r="D152" s="109"/>
      <c r="E152" s="108"/>
      <c r="F152" s="108"/>
    </row>
    <row r="153" spans="1:6">
      <c r="A153" s="107"/>
      <c r="B153" s="108"/>
      <c r="C153" s="108"/>
      <c r="D153" s="109"/>
      <c r="E153" s="108"/>
      <c r="F153" s="108"/>
    </row>
    <row r="154" spans="1:6">
      <c r="A154" s="107"/>
      <c r="B154" s="108"/>
      <c r="C154" s="108"/>
      <c r="D154" s="109"/>
      <c r="E154" s="108"/>
      <c r="F154" s="108"/>
    </row>
    <row r="155" spans="1:6">
      <c r="A155" s="107"/>
      <c r="B155" s="108"/>
      <c r="C155" s="108"/>
      <c r="D155" s="109"/>
      <c r="E155" s="108"/>
      <c r="F155" s="108"/>
    </row>
    <row r="156" spans="1:6">
      <c r="A156" s="107"/>
      <c r="B156" s="108"/>
      <c r="C156" s="108"/>
      <c r="D156" s="109"/>
      <c r="E156" s="108"/>
      <c r="F156" s="108"/>
    </row>
    <row r="157" spans="1:6">
      <c r="A157" s="107"/>
      <c r="B157" s="108"/>
      <c r="C157" s="108"/>
      <c r="D157" s="109"/>
      <c r="E157" s="108"/>
      <c r="F157" s="108"/>
    </row>
    <row r="158" spans="1:6">
      <c r="A158" s="107"/>
      <c r="B158" s="108"/>
      <c r="C158" s="108"/>
      <c r="D158" s="109"/>
      <c r="E158" s="108"/>
      <c r="F158" s="108"/>
    </row>
    <row r="159" spans="1:6">
      <c r="A159" s="107"/>
      <c r="B159" s="108"/>
      <c r="C159" s="108"/>
      <c r="D159" s="109"/>
      <c r="E159" s="108"/>
      <c r="F159" s="108"/>
    </row>
    <row r="160" spans="1:6">
      <c r="A160" s="107"/>
      <c r="B160" s="108"/>
      <c r="C160" s="108"/>
      <c r="D160" s="109"/>
      <c r="E160" s="108"/>
      <c r="F160" s="108"/>
    </row>
    <row r="161" spans="1:6">
      <c r="A161" s="107"/>
      <c r="B161" s="108"/>
      <c r="C161" s="108"/>
      <c r="D161" s="109"/>
      <c r="E161" s="108"/>
      <c r="F161" s="108"/>
    </row>
    <row r="162" spans="1:6">
      <c r="A162" s="5"/>
      <c r="D162" s="110"/>
    </row>
    <row r="163" spans="1:6">
      <c r="A163" s="5"/>
      <c r="D163" s="110"/>
    </row>
    <row r="164" spans="1:6">
      <c r="A164" s="5"/>
      <c r="D164" s="110"/>
    </row>
    <row r="165" spans="1:6">
      <c r="A165" s="5"/>
      <c r="D165" s="110"/>
    </row>
    <row r="166" spans="1:6">
      <c r="A166" s="5"/>
      <c r="D166" s="110"/>
    </row>
    <row r="167" spans="1:6">
      <c r="A167" s="5"/>
      <c r="D167" s="110"/>
    </row>
    <row r="168" spans="1:6">
      <c r="A168" s="5"/>
      <c r="D168" s="110"/>
    </row>
    <row r="169" spans="1:6">
      <c r="A169" s="5"/>
      <c r="D169" s="110"/>
    </row>
    <row r="170" spans="1:6">
      <c r="A170" s="5"/>
      <c r="D170" s="110"/>
    </row>
    <row r="171" spans="1:6">
      <c r="A171" s="5"/>
      <c r="D171" s="110"/>
    </row>
    <row r="172" spans="1:6">
      <c r="A172" s="5"/>
      <c r="D172" s="110"/>
    </row>
    <row r="173" spans="1:6">
      <c r="A173" s="5"/>
      <c r="D173" s="110"/>
    </row>
    <row r="174" spans="1:6">
      <c r="A174" s="5"/>
      <c r="D174" s="110"/>
    </row>
    <row r="175" spans="1:6">
      <c r="A175" s="5"/>
      <c r="D175" s="110"/>
    </row>
    <row r="176" spans="1:6">
      <c r="A176" s="5"/>
      <c r="D176" s="110"/>
    </row>
    <row r="177" spans="1:4">
      <c r="A177" s="5"/>
      <c r="D177" s="110"/>
    </row>
    <row r="178" spans="1:4">
      <c r="A178" s="5"/>
      <c r="D178" s="110"/>
    </row>
    <row r="179" spans="1:4">
      <c r="A179" s="5"/>
      <c r="D179" s="110"/>
    </row>
    <row r="180" spans="1:4">
      <c r="A180" s="5"/>
      <c r="D180" s="110"/>
    </row>
    <row r="181" spans="1:4">
      <c r="A181" s="5"/>
      <c r="D181" s="110"/>
    </row>
    <row r="182" spans="1:4">
      <c r="A182" s="5"/>
      <c r="D182" s="110"/>
    </row>
    <row r="183" spans="1:4">
      <c r="A183" s="5"/>
      <c r="D183" s="110"/>
    </row>
    <row r="184" spans="1:4">
      <c r="A184" s="5"/>
      <c r="D184" s="110"/>
    </row>
    <row r="185" spans="1:4">
      <c r="A185" s="5"/>
      <c r="D185" s="110"/>
    </row>
    <row r="186" spans="1:4">
      <c r="A186" s="5"/>
      <c r="D186" s="110"/>
    </row>
    <row r="187" spans="1:4">
      <c r="A187" s="5"/>
      <c r="D187" s="110"/>
    </row>
    <row r="188" spans="1:4">
      <c r="A188" s="5"/>
      <c r="D188" s="110"/>
    </row>
    <row r="189" spans="1:4">
      <c r="A189" s="5"/>
      <c r="D189" s="110"/>
    </row>
    <row r="190" spans="1:4">
      <c r="A190" s="5"/>
      <c r="D190" s="110"/>
    </row>
    <row r="191" spans="1:4">
      <c r="A191" s="5"/>
      <c r="D191" s="110"/>
    </row>
    <row r="192" spans="1:4">
      <c r="A192" s="5"/>
      <c r="D192" s="110"/>
    </row>
    <row r="193" spans="1:4">
      <c r="A193" s="5"/>
      <c r="D193" s="110"/>
    </row>
    <row r="194" spans="1:4">
      <c r="A194" s="5"/>
      <c r="D194" s="110"/>
    </row>
    <row r="195" spans="1:4">
      <c r="A195" s="5"/>
      <c r="D195" s="110"/>
    </row>
    <row r="196" spans="1:4">
      <c r="A196" s="5"/>
      <c r="D196" s="110"/>
    </row>
    <row r="197" spans="1:4">
      <c r="A197" s="5"/>
      <c r="D197" s="110"/>
    </row>
    <row r="198" spans="1:4">
      <c r="A198" s="5"/>
      <c r="D198" s="110"/>
    </row>
    <row r="199" spans="1:4">
      <c r="A199" s="5"/>
      <c r="D199" s="110"/>
    </row>
    <row r="200" spans="1:4">
      <c r="A200" s="5"/>
      <c r="D200" s="110"/>
    </row>
    <row r="201" spans="1:4">
      <c r="A201" s="5"/>
      <c r="D201" s="110"/>
    </row>
    <row r="202" spans="1:4">
      <c r="A202" s="5"/>
      <c r="D202" s="110"/>
    </row>
    <row r="203" spans="1:4">
      <c r="A203" s="5"/>
      <c r="D203" s="110"/>
    </row>
    <row r="204" spans="1:4">
      <c r="A204" s="5"/>
      <c r="D204" s="110"/>
    </row>
    <row r="205" spans="1:4">
      <c r="A205" s="5"/>
      <c r="D205" s="110"/>
    </row>
    <row r="206" spans="1:4">
      <c r="A206" s="5"/>
      <c r="D206" s="110"/>
    </row>
    <row r="207" spans="1:4">
      <c r="A207" s="5"/>
      <c r="D207" s="110"/>
    </row>
    <row r="208" spans="1:4">
      <c r="A208" s="5"/>
      <c r="D208" s="110"/>
    </row>
    <row r="209" spans="1:4">
      <c r="A209" s="5"/>
      <c r="D209" s="110"/>
    </row>
    <row r="210" spans="1:4">
      <c r="A210" s="5"/>
      <c r="D210" s="110"/>
    </row>
    <row r="211" spans="1:4">
      <c r="A211" s="5"/>
      <c r="D211" s="110"/>
    </row>
    <row r="212" spans="1:4">
      <c r="A212" s="5"/>
      <c r="D212" s="110"/>
    </row>
    <row r="213" spans="1:4">
      <c r="A213" s="5"/>
      <c r="D213" s="110"/>
    </row>
    <row r="214" spans="1:4">
      <c r="A214" s="5"/>
      <c r="D214" s="110"/>
    </row>
    <row r="215" spans="1:4">
      <c r="A215" s="5"/>
      <c r="D215" s="110"/>
    </row>
    <row r="216" spans="1:4">
      <c r="A216" s="5"/>
      <c r="D216" s="110"/>
    </row>
    <row r="217" spans="1:4">
      <c r="A217" s="5"/>
      <c r="D217" s="110"/>
    </row>
    <row r="218" spans="1:4">
      <c r="A218" s="5"/>
      <c r="D218" s="110"/>
    </row>
    <row r="219" spans="1:4">
      <c r="A219" s="5"/>
      <c r="D219" s="110"/>
    </row>
    <row r="220" spans="1:4">
      <c r="A220" s="5"/>
      <c r="D220" s="110"/>
    </row>
    <row r="221" spans="1:4">
      <c r="A221" s="5"/>
      <c r="D221" s="110"/>
    </row>
    <row r="222" spans="1:4">
      <c r="A222" s="5"/>
      <c r="D222" s="110"/>
    </row>
    <row r="223" spans="1:4">
      <c r="A223" s="5"/>
      <c r="D223" s="110"/>
    </row>
    <row r="224" spans="1:4">
      <c r="A224" s="5"/>
      <c r="D224" s="110"/>
    </row>
    <row r="225" spans="1:4">
      <c r="A225" s="5"/>
      <c r="D225" s="110"/>
    </row>
    <row r="226" spans="1:4">
      <c r="A226" s="5"/>
      <c r="D226" s="110"/>
    </row>
    <row r="227" spans="1:4">
      <c r="A227" s="5"/>
      <c r="D227" s="110"/>
    </row>
    <row r="228" spans="1:4">
      <c r="A228" s="5"/>
      <c r="D228" s="110"/>
    </row>
    <row r="229" spans="1:4">
      <c r="A229" s="5"/>
      <c r="D229" s="110"/>
    </row>
    <row r="230" spans="1:4">
      <c r="A230" s="5"/>
      <c r="D230" s="110"/>
    </row>
    <row r="231" spans="1:4">
      <c r="A231" s="5"/>
      <c r="D231" s="110"/>
    </row>
    <row r="232" spans="1:4">
      <c r="A232" s="5"/>
      <c r="D232" s="110"/>
    </row>
    <row r="233" spans="1:4">
      <c r="A233" s="5"/>
      <c r="D233" s="110"/>
    </row>
    <row r="234" spans="1:4">
      <c r="A234" s="5"/>
      <c r="D234" s="110"/>
    </row>
    <row r="235" spans="1:4">
      <c r="A235" s="5"/>
      <c r="D235" s="110"/>
    </row>
    <row r="236" spans="1:4">
      <c r="A236" s="5"/>
      <c r="D236" s="110"/>
    </row>
    <row r="237" spans="1:4">
      <c r="A237" s="5"/>
      <c r="D237" s="7"/>
    </row>
    <row r="238" spans="1:4">
      <c r="A238" s="5"/>
      <c r="D238" s="7"/>
    </row>
    <row r="239" spans="1:4">
      <c r="A239" s="5"/>
      <c r="D239" s="7"/>
    </row>
    <row r="240" spans="1:4">
      <c r="A240" s="5"/>
      <c r="D240" s="7"/>
    </row>
    <row r="241" spans="1:4">
      <c r="A241" s="5"/>
      <c r="D241" s="7"/>
    </row>
    <row r="242" spans="1:4">
      <c r="A242" s="5"/>
      <c r="D242" s="7"/>
    </row>
    <row r="243" spans="1:4">
      <c r="A243" s="5"/>
      <c r="D243" s="7"/>
    </row>
    <row r="244" spans="1:4">
      <c r="A244" s="5"/>
      <c r="D244" s="7"/>
    </row>
    <row r="245" spans="1:4">
      <c r="A245" s="5"/>
      <c r="D245" s="7"/>
    </row>
    <row r="246" spans="1:4">
      <c r="A246" s="5"/>
      <c r="D246" s="7"/>
    </row>
    <row r="247" spans="1:4">
      <c r="A247" s="5"/>
      <c r="D247" s="7"/>
    </row>
    <row r="248" spans="1:4">
      <c r="A248" s="5"/>
      <c r="D248" s="7"/>
    </row>
    <row r="249" spans="1:4">
      <c r="A249" s="5"/>
      <c r="D249" s="7"/>
    </row>
    <row r="250" spans="1:4">
      <c r="A250" s="5"/>
      <c r="D250" s="7"/>
    </row>
    <row r="251" spans="1:4">
      <c r="A251" s="5"/>
      <c r="D251" s="7"/>
    </row>
    <row r="252" spans="1:4">
      <c r="A252" s="5"/>
      <c r="D252" s="7"/>
    </row>
    <row r="253" spans="1:4">
      <c r="A253" s="5"/>
      <c r="D253" s="7"/>
    </row>
    <row r="254" spans="1:4">
      <c r="A254" s="5"/>
      <c r="D254" s="7"/>
    </row>
    <row r="255" spans="1:4">
      <c r="A255" s="5"/>
      <c r="D255" s="7"/>
    </row>
    <row r="256" spans="1:4">
      <c r="A256" s="5"/>
      <c r="D256" s="7"/>
    </row>
    <row r="257" spans="1:4">
      <c r="A257" s="5"/>
      <c r="D257" s="7"/>
    </row>
    <row r="258" spans="1:4">
      <c r="A258" s="5"/>
      <c r="D258" s="7"/>
    </row>
    <row r="259" spans="1:4">
      <c r="A259" s="5"/>
      <c r="D259" s="7"/>
    </row>
    <row r="260" spans="1:4">
      <c r="A260" s="5"/>
      <c r="D260" s="7"/>
    </row>
    <row r="261" spans="1:4">
      <c r="A261" s="5"/>
      <c r="D261" s="7"/>
    </row>
    <row r="262" spans="1:4">
      <c r="A262" s="5"/>
      <c r="D262" s="7"/>
    </row>
    <row r="263" spans="1:4">
      <c r="A263" s="5"/>
      <c r="D263" s="7"/>
    </row>
    <row r="264" spans="1:4">
      <c r="A264" s="5"/>
      <c r="D264" s="7"/>
    </row>
    <row r="265" spans="1:4">
      <c r="A265" s="5"/>
      <c r="D265" s="7"/>
    </row>
    <row r="266" spans="1:4">
      <c r="A266" s="5"/>
      <c r="D266" s="7"/>
    </row>
    <row r="267" spans="1:4">
      <c r="A267" s="5"/>
      <c r="D267" s="7"/>
    </row>
    <row r="268" spans="1:4">
      <c r="A268" s="5"/>
      <c r="D268" s="7"/>
    </row>
    <row r="269" spans="1:4">
      <c r="A269" s="5"/>
      <c r="D269" s="7"/>
    </row>
    <row r="270" spans="1:4">
      <c r="A270" s="5"/>
      <c r="D270" s="7"/>
    </row>
    <row r="271" spans="1:4">
      <c r="A271" s="5"/>
      <c r="D271" s="7"/>
    </row>
    <row r="272" spans="1:4">
      <c r="A272" s="5"/>
      <c r="D272" s="7"/>
    </row>
    <row r="273" spans="1:4">
      <c r="A273" s="5"/>
      <c r="D273" s="7"/>
    </row>
    <row r="274" spans="1:4">
      <c r="A274" s="5"/>
      <c r="D274" s="7"/>
    </row>
    <row r="275" spans="1:4">
      <c r="A275" s="5"/>
      <c r="D275" s="7"/>
    </row>
    <row r="276" spans="1:4">
      <c r="A276" s="5"/>
      <c r="D276" s="7"/>
    </row>
    <row r="277" spans="1:4">
      <c r="A277" s="5"/>
      <c r="D277" s="7"/>
    </row>
    <row r="278" spans="1:4">
      <c r="A278" s="5"/>
      <c r="D278" s="7"/>
    </row>
    <row r="279" spans="1:4">
      <c r="A279" s="5"/>
      <c r="D279" s="7"/>
    </row>
    <row r="280" spans="1:4">
      <c r="A280" s="5"/>
      <c r="D280" s="7"/>
    </row>
    <row r="281" spans="1:4">
      <c r="A281" s="5"/>
      <c r="D281" s="7"/>
    </row>
    <row r="282" spans="1:4">
      <c r="A282" s="5"/>
      <c r="D282" s="7"/>
    </row>
    <row r="283" spans="1:4">
      <c r="A283" s="5"/>
      <c r="D283" s="7"/>
    </row>
    <row r="284" spans="1:4">
      <c r="A284" s="5"/>
      <c r="D284" s="7"/>
    </row>
    <row r="285" spans="1:4">
      <c r="A285" s="5"/>
      <c r="D285" s="7"/>
    </row>
    <row r="286" spans="1:4">
      <c r="A286" s="5"/>
      <c r="D286" s="7"/>
    </row>
    <row r="287" spans="1:4">
      <c r="A287" s="5"/>
      <c r="D287" s="7"/>
    </row>
    <row r="288" spans="1:4">
      <c r="A288" s="5"/>
      <c r="D288" s="7"/>
    </row>
    <row r="289" spans="1:4">
      <c r="A289" s="5"/>
      <c r="D289" s="7"/>
    </row>
    <row r="290" spans="1:4">
      <c r="A290" s="5"/>
      <c r="D290" s="7"/>
    </row>
    <row r="291" spans="1:4">
      <c r="A291" s="5"/>
      <c r="D291" s="7"/>
    </row>
    <row r="292" spans="1:4">
      <c r="A292" s="5"/>
      <c r="D292" s="7"/>
    </row>
    <row r="293" spans="1:4">
      <c r="A293" s="5"/>
      <c r="D293" s="7"/>
    </row>
    <row r="294" spans="1:4">
      <c r="A294" s="5"/>
      <c r="D294" s="7"/>
    </row>
    <row r="295" spans="1:4">
      <c r="A295" s="5"/>
      <c r="D295" s="7"/>
    </row>
    <row r="296" spans="1:4">
      <c r="A296" s="5"/>
      <c r="D296" s="7"/>
    </row>
    <row r="297" spans="1:4">
      <c r="A297" s="5"/>
      <c r="D297" s="7"/>
    </row>
    <row r="298" spans="1:4">
      <c r="A298" s="5"/>
      <c r="D298" s="7"/>
    </row>
    <row r="299" spans="1:4">
      <c r="A299" s="5"/>
      <c r="D299" s="7"/>
    </row>
    <row r="300" spans="1:4">
      <c r="A300" s="5"/>
      <c r="D300" s="7"/>
    </row>
    <row r="301" spans="1:4">
      <c r="A301" s="5"/>
      <c r="D301" s="7"/>
    </row>
    <row r="302" spans="1:4">
      <c r="A302" s="5"/>
      <c r="D302" s="7"/>
    </row>
  </sheetData>
  <mergeCells count="1">
    <mergeCell ref="A1:F1"/>
  </mergeCells>
  <phoneticPr fontId="6" type="noConversion"/>
  <conditionalFormatting sqref="A4:F302">
    <cfRule type="expression" dxfId="17" priority="16">
      <formula>$F4="Previsto"</formula>
    </cfRule>
  </conditionalFormatting>
  <conditionalFormatting sqref="A162:F236">
    <cfRule type="expression" dxfId="16" priority="18">
      <formula>$F162="Previsto"</formula>
    </cfRule>
  </conditionalFormatting>
  <dataValidations count="7">
    <dataValidation type="list" allowBlank="1" showInputMessage="1" showErrorMessage="1" sqref="B553:B1048576" xr:uid="{32AFAD78-68E0-472F-9B42-858D992DE8B3}">
      <formula1>listaCategorias</formula1>
    </dataValidation>
    <dataValidation type="list" allowBlank="1" showInputMessage="1" showErrorMessage="1" sqref="B303:B552" xr:uid="{FB22A817-1F0A-4353-A1A4-A9FB6B38F3A7}">
      <formula1>"Salário,Benefício,Serviço,Convênios,Extra"</formula1>
    </dataValidation>
    <dataValidation type="list" allowBlank="1" showInputMessage="1" showErrorMessage="1" sqref="B4:B302" xr:uid="{7D6EDCA1-C22B-4740-8724-AEC1445BA31B}">
      <formula1>Categorias_Receita</formula1>
    </dataValidation>
    <dataValidation type="list" allowBlank="1" showInputMessage="1" showErrorMessage="1" sqref="F4:F302" xr:uid="{CFE5BD27-6D1D-4E26-8579-8F70169D50D0}">
      <formula1>"Realizado,Previsto"</formula1>
    </dataValidation>
    <dataValidation type="list" allowBlank="1" showInputMessage="1" showErrorMessage="1" sqref="C57" xr:uid="{3F951065-4F2E-4A41-9756-9514D5695444}">
      <formula1>Salário</formula1>
    </dataValidation>
    <dataValidation type="list" allowBlank="1" showInputMessage="1" showErrorMessage="1" sqref="C4:C56 C58:C302" xr:uid="{C4F2C866-F8E3-4F6E-B265-A55492B1FDDA}">
      <formula1>INDIRECT(#REF!)</formula1>
    </dataValidation>
    <dataValidation type="list" allowBlank="1" showInputMessage="1" showErrorMessage="1" sqref="E303:E1048576" xr:uid="{4DDBF256-95DA-423C-847C-FA15585AF4B9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DA15-DA47-4764-8D3C-88BCEE425262}">
  <sheetPr>
    <tabColor rgb="FFE74C3C"/>
    <pageSetUpPr fitToPage="1"/>
  </sheetPr>
  <dimension ref="A1:G502"/>
  <sheetViews>
    <sheetView showGridLines="0" zoomScaleNormal="100" workbookViewId="0">
      <pane ySplit="3" topLeftCell="A212" activePane="bottomLeft" state="frozen"/>
      <selection activeCell="C1" sqref="C1"/>
      <selection pane="bottomLeft" activeCell="J95" sqref="J95"/>
    </sheetView>
  </sheetViews>
  <sheetFormatPr defaultRowHeight="14.4"/>
  <cols>
    <col min="1" max="1" width="15.77734375" customWidth="1"/>
    <col min="2" max="2" width="18.5546875" customWidth="1"/>
    <col min="3" max="3" width="27.77734375" customWidth="1"/>
    <col min="4" max="4" width="16.6640625" customWidth="1"/>
    <col min="5" max="5" width="27.77734375" customWidth="1"/>
    <col min="6" max="6" width="11.109375" hidden="1" customWidth="1"/>
    <col min="7" max="7" width="37" customWidth="1"/>
  </cols>
  <sheetData>
    <row r="1" spans="1:7" ht="30" customHeight="1">
      <c r="A1" s="357" t="s">
        <v>341</v>
      </c>
      <c r="B1" s="357"/>
      <c r="C1" s="357"/>
      <c r="D1" s="357"/>
      <c r="E1" s="357"/>
      <c r="F1" s="357"/>
      <c r="G1" s="357"/>
    </row>
    <row r="2" spans="1:7" ht="19.95" customHeight="1" thickBot="1">
      <c r="A2" s="358" t="s">
        <v>342</v>
      </c>
      <c r="B2" s="358"/>
      <c r="C2" s="358"/>
      <c r="D2" s="358"/>
      <c r="E2" s="358"/>
      <c r="F2" s="358"/>
      <c r="G2" s="358"/>
    </row>
    <row r="3" spans="1:7" ht="25.05" customHeight="1" thickBot="1">
      <c r="A3" s="184" t="s">
        <v>235</v>
      </c>
      <c r="B3" s="94" t="s">
        <v>236</v>
      </c>
      <c r="C3" s="94" t="s">
        <v>237</v>
      </c>
      <c r="D3" s="94" t="s">
        <v>238</v>
      </c>
      <c r="E3" s="94" t="s">
        <v>239</v>
      </c>
      <c r="F3" s="185" t="s">
        <v>123</v>
      </c>
      <c r="G3" s="94" t="s">
        <v>283</v>
      </c>
    </row>
    <row r="4" spans="1:7" ht="19.95" customHeight="1" thickTop="1">
      <c r="A4" s="156">
        <v>45666</v>
      </c>
      <c r="B4" s="157" t="s">
        <v>23</v>
      </c>
      <c r="C4" s="157" t="s">
        <v>424</v>
      </c>
      <c r="D4" s="158">
        <v>2375</v>
      </c>
      <c r="E4" s="157" t="s">
        <v>425</v>
      </c>
      <c r="F4" s="159" t="s">
        <v>426</v>
      </c>
      <c r="G4" s="154" t="s">
        <v>154</v>
      </c>
    </row>
    <row r="5" spans="1:7" ht="19.95" customHeight="1">
      <c r="A5" s="160">
        <v>45671</v>
      </c>
      <c r="B5" s="161" t="s">
        <v>23</v>
      </c>
      <c r="C5" s="161" t="s">
        <v>28</v>
      </c>
      <c r="D5" s="162">
        <v>712.5</v>
      </c>
      <c r="E5" s="161" t="s">
        <v>427</v>
      </c>
      <c r="F5" s="163" t="s">
        <v>426</v>
      </c>
      <c r="G5" s="164" t="s">
        <v>154</v>
      </c>
    </row>
    <row r="6" spans="1:7" ht="19.95" customHeight="1">
      <c r="A6" s="160">
        <v>45676</v>
      </c>
      <c r="B6" s="161" t="s">
        <v>23</v>
      </c>
      <c r="C6" s="161" t="s">
        <v>29</v>
      </c>
      <c r="D6" s="162">
        <v>380</v>
      </c>
      <c r="E6" s="161" t="s">
        <v>428</v>
      </c>
      <c r="F6" s="163" t="s">
        <v>426</v>
      </c>
      <c r="G6" s="164" t="s">
        <v>154</v>
      </c>
    </row>
    <row r="7" spans="1:7" ht="19.95" customHeight="1">
      <c r="A7" s="160">
        <v>45681</v>
      </c>
      <c r="B7" s="161" t="s">
        <v>23</v>
      </c>
      <c r="C7" s="161" t="s">
        <v>31</v>
      </c>
      <c r="D7" s="162">
        <v>570</v>
      </c>
      <c r="E7" s="161" t="s">
        <v>429</v>
      </c>
      <c r="F7" s="163" t="s">
        <v>426</v>
      </c>
      <c r="G7" s="164" t="s">
        <v>154</v>
      </c>
    </row>
    <row r="8" spans="1:7" ht="19.95" customHeight="1">
      <c r="A8" s="160">
        <v>45684</v>
      </c>
      <c r="B8" s="161" t="s">
        <v>23</v>
      </c>
      <c r="C8" s="161" t="s">
        <v>430</v>
      </c>
      <c r="D8" s="162">
        <v>712.5</v>
      </c>
      <c r="E8" s="161" t="s">
        <v>431</v>
      </c>
      <c r="F8" s="163" t="s">
        <v>426</v>
      </c>
      <c r="G8" s="164" t="s">
        <v>154</v>
      </c>
    </row>
    <row r="9" spans="1:7" ht="19.95" customHeight="1">
      <c r="A9" s="160">
        <v>45661</v>
      </c>
      <c r="B9" s="161" t="s">
        <v>37</v>
      </c>
      <c r="C9" s="161" t="s">
        <v>38</v>
      </c>
      <c r="D9" s="162">
        <v>1365</v>
      </c>
      <c r="E9" s="161" t="s">
        <v>432</v>
      </c>
      <c r="F9" s="163" t="s">
        <v>433</v>
      </c>
      <c r="G9" s="164" t="s">
        <v>154</v>
      </c>
    </row>
    <row r="10" spans="1:7" ht="19.95" customHeight="1">
      <c r="A10" s="160">
        <v>45674</v>
      </c>
      <c r="B10" s="161" t="s">
        <v>37</v>
      </c>
      <c r="C10" s="161" t="s">
        <v>40</v>
      </c>
      <c r="D10" s="162">
        <v>292.5</v>
      </c>
      <c r="E10" s="161" t="s">
        <v>40</v>
      </c>
      <c r="F10" s="163" t="s">
        <v>433</v>
      </c>
      <c r="G10" s="164" t="s">
        <v>154</v>
      </c>
    </row>
    <row r="11" spans="1:7" ht="19.95" customHeight="1">
      <c r="A11" s="160">
        <v>45678</v>
      </c>
      <c r="B11" s="161" t="s">
        <v>37</v>
      </c>
      <c r="C11" s="161" t="s">
        <v>434</v>
      </c>
      <c r="D11" s="162">
        <v>292.5</v>
      </c>
      <c r="E11" s="161" t="s">
        <v>232</v>
      </c>
      <c r="F11" s="163" t="s">
        <v>433</v>
      </c>
      <c r="G11" s="164" t="s">
        <v>154</v>
      </c>
    </row>
    <row r="12" spans="1:7" ht="19.95" customHeight="1">
      <c r="A12" s="160">
        <v>45664</v>
      </c>
      <c r="B12" s="161" t="s">
        <v>44</v>
      </c>
      <c r="C12" s="161" t="s">
        <v>45</v>
      </c>
      <c r="D12" s="162">
        <v>690</v>
      </c>
      <c r="E12" s="161" t="s">
        <v>435</v>
      </c>
      <c r="F12" s="163" t="s">
        <v>44</v>
      </c>
      <c r="G12" s="164" t="s">
        <v>154</v>
      </c>
    </row>
    <row r="13" spans="1:7" ht="19.95" customHeight="1">
      <c r="A13" s="160">
        <v>45671</v>
      </c>
      <c r="B13" s="161" t="s">
        <v>44</v>
      </c>
      <c r="C13" s="161" t="s">
        <v>106</v>
      </c>
      <c r="D13" s="162">
        <v>230</v>
      </c>
      <c r="E13" s="161" t="s">
        <v>106</v>
      </c>
      <c r="F13" s="163" t="s">
        <v>44</v>
      </c>
      <c r="G13" s="164" t="s">
        <v>154</v>
      </c>
    </row>
    <row r="14" spans="1:7" ht="19.95" customHeight="1">
      <c r="A14" s="160">
        <v>45681</v>
      </c>
      <c r="B14" s="161" t="s">
        <v>44</v>
      </c>
      <c r="C14" s="161" t="s">
        <v>49</v>
      </c>
      <c r="D14" s="162">
        <v>230</v>
      </c>
      <c r="E14" s="161" t="s">
        <v>436</v>
      </c>
      <c r="F14" s="163" t="s">
        <v>44</v>
      </c>
      <c r="G14" s="164" t="s">
        <v>154</v>
      </c>
    </row>
    <row r="15" spans="1:7" ht="19.95" customHeight="1">
      <c r="A15" s="160">
        <v>45666</v>
      </c>
      <c r="B15" s="161" t="s">
        <v>50</v>
      </c>
      <c r="C15" s="161" t="s">
        <v>51</v>
      </c>
      <c r="D15" s="162">
        <v>525</v>
      </c>
      <c r="E15" s="161" t="s">
        <v>437</v>
      </c>
      <c r="F15" s="163" t="s">
        <v>438</v>
      </c>
      <c r="G15" s="164" t="s">
        <v>154</v>
      </c>
    </row>
    <row r="16" spans="1:7" ht="19.95" customHeight="1">
      <c r="A16" s="160">
        <v>45676</v>
      </c>
      <c r="B16" s="161" t="s">
        <v>50</v>
      </c>
      <c r="C16" s="161" t="s">
        <v>52</v>
      </c>
      <c r="D16" s="162">
        <v>225</v>
      </c>
      <c r="E16" s="161" t="s">
        <v>439</v>
      </c>
      <c r="F16" s="163" t="s">
        <v>438</v>
      </c>
      <c r="G16" s="164" t="s">
        <v>154</v>
      </c>
    </row>
    <row r="17" spans="1:7" ht="19.95" customHeight="1">
      <c r="A17" s="160">
        <v>45661</v>
      </c>
      <c r="B17" s="161" t="s">
        <v>54</v>
      </c>
      <c r="C17" s="161" t="s">
        <v>440</v>
      </c>
      <c r="D17" s="162">
        <v>1500</v>
      </c>
      <c r="E17" s="161" t="s">
        <v>441</v>
      </c>
      <c r="F17" s="163" t="s">
        <v>442</v>
      </c>
      <c r="G17" s="164" t="s">
        <v>154</v>
      </c>
    </row>
    <row r="18" spans="1:7" ht="19.95" customHeight="1">
      <c r="A18" s="160">
        <v>45668</v>
      </c>
      <c r="B18" s="161" t="s">
        <v>58</v>
      </c>
      <c r="C18" s="161" t="s">
        <v>59</v>
      </c>
      <c r="D18" s="162">
        <v>250</v>
      </c>
      <c r="E18" s="161" t="s">
        <v>443</v>
      </c>
      <c r="F18" s="163" t="s">
        <v>444</v>
      </c>
      <c r="G18" s="164" t="s">
        <v>154</v>
      </c>
    </row>
    <row r="19" spans="1:7" ht="19.95" customHeight="1">
      <c r="A19" s="160">
        <v>45671</v>
      </c>
      <c r="B19" s="161" t="s">
        <v>62</v>
      </c>
      <c r="C19" s="161" t="s">
        <v>67</v>
      </c>
      <c r="D19" s="162">
        <v>110</v>
      </c>
      <c r="E19" s="161" t="s">
        <v>445</v>
      </c>
      <c r="F19" s="163" t="s">
        <v>62</v>
      </c>
      <c r="G19" s="164" t="s">
        <v>154</v>
      </c>
    </row>
    <row r="20" spans="1:7" ht="19.95" customHeight="1">
      <c r="A20" s="160">
        <v>45676</v>
      </c>
      <c r="B20" s="161" t="s">
        <v>62</v>
      </c>
      <c r="C20" s="161" t="s">
        <v>64</v>
      </c>
      <c r="D20" s="162">
        <v>440</v>
      </c>
      <c r="E20" s="161" t="s">
        <v>446</v>
      </c>
      <c r="F20" s="163" t="s">
        <v>62</v>
      </c>
      <c r="G20" s="164" t="s">
        <v>154</v>
      </c>
    </row>
    <row r="21" spans="1:7" ht="19.95" customHeight="1">
      <c r="A21" s="160">
        <v>45657</v>
      </c>
      <c r="B21" s="161" t="s">
        <v>69</v>
      </c>
      <c r="C21" s="161" t="s">
        <v>70</v>
      </c>
      <c r="D21" s="162">
        <v>100</v>
      </c>
      <c r="E21" s="161" t="s">
        <v>447</v>
      </c>
      <c r="F21" s="163" t="s">
        <v>69</v>
      </c>
      <c r="G21" s="164" t="s">
        <v>154</v>
      </c>
    </row>
    <row r="22" spans="1:7" ht="19.95" customHeight="1">
      <c r="A22" s="160">
        <v>45673</v>
      </c>
      <c r="B22" s="161" t="s">
        <v>68</v>
      </c>
      <c r="C22" s="161" t="s">
        <v>448</v>
      </c>
      <c r="D22" s="162">
        <v>180</v>
      </c>
      <c r="E22" s="161" t="s">
        <v>449</v>
      </c>
      <c r="F22" s="163" t="s">
        <v>68</v>
      </c>
      <c r="G22" s="164" t="s">
        <v>154</v>
      </c>
    </row>
    <row r="23" spans="1:7" ht="19.95" customHeight="1">
      <c r="A23" s="160">
        <v>45681</v>
      </c>
      <c r="B23" s="161" t="s">
        <v>21</v>
      </c>
      <c r="C23" s="161" t="s">
        <v>450</v>
      </c>
      <c r="D23" s="162">
        <v>950</v>
      </c>
      <c r="E23" s="161" t="s">
        <v>451</v>
      </c>
      <c r="F23" s="163" t="s">
        <v>21</v>
      </c>
      <c r="G23" s="164" t="s">
        <v>154</v>
      </c>
    </row>
    <row r="24" spans="1:7" ht="19.95" customHeight="1">
      <c r="A24" s="160">
        <v>45697</v>
      </c>
      <c r="B24" s="161" t="s">
        <v>23</v>
      </c>
      <c r="C24" s="161" t="s">
        <v>424</v>
      </c>
      <c r="D24" s="162">
        <v>2425</v>
      </c>
      <c r="E24" s="161" t="s">
        <v>425</v>
      </c>
      <c r="F24" s="163" t="s">
        <v>426</v>
      </c>
      <c r="G24" s="164" t="s">
        <v>154</v>
      </c>
    </row>
    <row r="25" spans="1:7" ht="19.95" customHeight="1">
      <c r="A25" s="160">
        <v>45702</v>
      </c>
      <c r="B25" s="161" t="s">
        <v>23</v>
      </c>
      <c r="C25" s="161" t="s">
        <v>28</v>
      </c>
      <c r="D25" s="162">
        <v>727.5</v>
      </c>
      <c r="E25" s="161" t="s">
        <v>427</v>
      </c>
      <c r="F25" s="163" t="s">
        <v>426</v>
      </c>
      <c r="G25" s="164" t="s">
        <v>154</v>
      </c>
    </row>
    <row r="26" spans="1:7" ht="19.95" customHeight="1">
      <c r="A26" s="160">
        <v>45707</v>
      </c>
      <c r="B26" s="161" t="s">
        <v>23</v>
      </c>
      <c r="C26" s="161" t="s">
        <v>29</v>
      </c>
      <c r="D26" s="162">
        <v>388</v>
      </c>
      <c r="E26" s="161" t="s">
        <v>428</v>
      </c>
      <c r="F26" s="163" t="s">
        <v>426</v>
      </c>
      <c r="G26" s="164" t="s">
        <v>154</v>
      </c>
    </row>
    <row r="27" spans="1:7" ht="19.95" customHeight="1">
      <c r="A27" s="160">
        <v>45712</v>
      </c>
      <c r="B27" s="161" t="s">
        <v>23</v>
      </c>
      <c r="C27" s="161" t="s">
        <v>31</v>
      </c>
      <c r="D27" s="162">
        <v>582</v>
      </c>
      <c r="E27" s="161" t="s">
        <v>429</v>
      </c>
      <c r="F27" s="163" t="s">
        <v>426</v>
      </c>
      <c r="G27" s="164" t="s">
        <v>154</v>
      </c>
    </row>
    <row r="28" spans="1:7" ht="19.95" customHeight="1">
      <c r="A28" s="160">
        <v>45715</v>
      </c>
      <c r="B28" s="161" t="s">
        <v>23</v>
      </c>
      <c r="C28" s="161" t="s">
        <v>430</v>
      </c>
      <c r="D28" s="162">
        <v>727.5</v>
      </c>
      <c r="E28" s="161" t="s">
        <v>431</v>
      </c>
      <c r="F28" s="163" t="s">
        <v>426</v>
      </c>
      <c r="G28" s="164" t="s">
        <v>154</v>
      </c>
    </row>
    <row r="29" spans="1:7" ht="19.95" customHeight="1">
      <c r="A29" s="160">
        <v>45692</v>
      </c>
      <c r="B29" s="161" t="s">
        <v>37</v>
      </c>
      <c r="C29" s="161" t="s">
        <v>38</v>
      </c>
      <c r="D29" s="162">
        <v>1470</v>
      </c>
      <c r="E29" s="161" t="s">
        <v>432</v>
      </c>
      <c r="F29" s="163" t="s">
        <v>433</v>
      </c>
      <c r="G29" s="164" t="s">
        <v>154</v>
      </c>
    </row>
    <row r="30" spans="1:7" ht="19.95" customHeight="1">
      <c r="A30" s="160">
        <v>45705</v>
      </c>
      <c r="B30" s="161" t="s">
        <v>37</v>
      </c>
      <c r="C30" s="161" t="s">
        <v>40</v>
      </c>
      <c r="D30" s="162">
        <v>315</v>
      </c>
      <c r="E30" s="161" t="s">
        <v>40</v>
      </c>
      <c r="F30" s="163" t="s">
        <v>433</v>
      </c>
      <c r="G30" s="164" t="s">
        <v>154</v>
      </c>
    </row>
    <row r="31" spans="1:7" ht="19.95" customHeight="1">
      <c r="A31" s="160">
        <v>45709</v>
      </c>
      <c r="B31" s="161" t="s">
        <v>37</v>
      </c>
      <c r="C31" s="161" t="s">
        <v>434</v>
      </c>
      <c r="D31" s="162">
        <v>315</v>
      </c>
      <c r="E31" s="161" t="s">
        <v>232</v>
      </c>
      <c r="F31" s="163" t="s">
        <v>433</v>
      </c>
      <c r="G31" s="164" t="s">
        <v>154</v>
      </c>
    </row>
    <row r="32" spans="1:7" ht="19.95" customHeight="1">
      <c r="A32" s="160">
        <v>45695</v>
      </c>
      <c r="B32" s="161" t="s">
        <v>44</v>
      </c>
      <c r="C32" s="161" t="s">
        <v>45</v>
      </c>
      <c r="D32" s="162">
        <v>750</v>
      </c>
      <c r="E32" s="161" t="s">
        <v>435</v>
      </c>
      <c r="F32" s="163" t="s">
        <v>44</v>
      </c>
      <c r="G32" s="164" t="s">
        <v>154</v>
      </c>
    </row>
    <row r="33" spans="1:7" ht="19.95" customHeight="1">
      <c r="A33" s="160">
        <v>45702</v>
      </c>
      <c r="B33" s="161" t="s">
        <v>44</v>
      </c>
      <c r="C33" s="161" t="s">
        <v>106</v>
      </c>
      <c r="D33" s="162">
        <v>250</v>
      </c>
      <c r="E33" s="161" t="s">
        <v>106</v>
      </c>
      <c r="F33" s="163" t="s">
        <v>44</v>
      </c>
      <c r="G33" s="164" t="s">
        <v>154</v>
      </c>
    </row>
    <row r="34" spans="1:7" ht="19.95" customHeight="1">
      <c r="A34" s="160">
        <v>45712</v>
      </c>
      <c r="B34" s="161" t="s">
        <v>44</v>
      </c>
      <c r="C34" s="161" t="s">
        <v>49</v>
      </c>
      <c r="D34" s="162">
        <v>250</v>
      </c>
      <c r="E34" s="161" t="s">
        <v>436</v>
      </c>
      <c r="F34" s="163" t="s">
        <v>44</v>
      </c>
      <c r="G34" s="164" t="s">
        <v>154</v>
      </c>
    </row>
    <row r="35" spans="1:7" ht="19.95" customHeight="1">
      <c r="A35" s="160">
        <v>45697</v>
      </c>
      <c r="B35" s="161" t="s">
        <v>50</v>
      </c>
      <c r="C35" s="161" t="s">
        <v>51</v>
      </c>
      <c r="D35" s="162">
        <v>595</v>
      </c>
      <c r="E35" s="161" t="s">
        <v>437</v>
      </c>
      <c r="F35" s="163" t="s">
        <v>438</v>
      </c>
      <c r="G35" s="164" t="s">
        <v>154</v>
      </c>
    </row>
    <row r="36" spans="1:7" ht="19.95" customHeight="1">
      <c r="A36" s="160">
        <v>45707</v>
      </c>
      <c r="B36" s="161" t="s">
        <v>50</v>
      </c>
      <c r="C36" s="161" t="s">
        <v>52</v>
      </c>
      <c r="D36" s="162">
        <v>255</v>
      </c>
      <c r="E36" s="161" t="s">
        <v>439</v>
      </c>
      <c r="F36" s="163" t="s">
        <v>438</v>
      </c>
      <c r="G36" s="164" t="s">
        <v>154</v>
      </c>
    </row>
    <row r="37" spans="1:7" ht="19.95" customHeight="1">
      <c r="A37" s="160">
        <v>45692</v>
      </c>
      <c r="B37" s="161" t="s">
        <v>54</v>
      </c>
      <c r="C37" s="161" t="s">
        <v>440</v>
      </c>
      <c r="D37" s="162">
        <v>1500</v>
      </c>
      <c r="E37" s="161" t="s">
        <v>441</v>
      </c>
      <c r="F37" s="163" t="s">
        <v>442</v>
      </c>
      <c r="G37" s="164" t="s">
        <v>154</v>
      </c>
    </row>
    <row r="38" spans="1:7" ht="19.95" customHeight="1">
      <c r="A38" s="160">
        <v>45699</v>
      </c>
      <c r="B38" s="161" t="s">
        <v>58</v>
      </c>
      <c r="C38" s="161" t="s">
        <v>59</v>
      </c>
      <c r="D38" s="162">
        <v>350</v>
      </c>
      <c r="E38" s="161" t="s">
        <v>443</v>
      </c>
      <c r="F38" s="163" t="s">
        <v>444</v>
      </c>
      <c r="G38" s="164" t="s">
        <v>154</v>
      </c>
    </row>
    <row r="39" spans="1:7" ht="19.95" customHeight="1">
      <c r="A39" s="160">
        <v>45702</v>
      </c>
      <c r="B39" s="161" t="s">
        <v>62</v>
      </c>
      <c r="C39" s="161" t="s">
        <v>67</v>
      </c>
      <c r="D39" s="162">
        <v>140</v>
      </c>
      <c r="E39" s="161" t="s">
        <v>445</v>
      </c>
      <c r="F39" s="163" t="s">
        <v>62</v>
      </c>
      <c r="G39" s="164" t="s">
        <v>154</v>
      </c>
    </row>
    <row r="40" spans="1:7" ht="19.95" customHeight="1">
      <c r="A40" s="160">
        <v>45707</v>
      </c>
      <c r="B40" s="161" t="s">
        <v>62</v>
      </c>
      <c r="C40" s="161" t="s">
        <v>64</v>
      </c>
      <c r="D40" s="162">
        <v>560</v>
      </c>
      <c r="E40" s="161" t="s">
        <v>446</v>
      </c>
      <c r="F40" s="163" t="s">
        <v>62</v>
      </c>
      <c r="G40" s="164" t="s">
        <v>154</v>
      </c>
    </row>
    <row r="41" spans="1:7" ht="19.95" customHeight="1">
      <c r="A41" s="160">
        <v>45688</v>
      </c>
      <c r="B41" s="161" t="s">
        <v>69</v>
      </c>
      <c r="C41" s="161" t="s">
        <v>70</v>
      </c>
      <c r="D41" s="162">
        <v>100</v>
      </c>
      <c r="E41" s="161" t="s">
        <v>447</v>
      </c>
      <c r="F41" s="163" t="s">
        <v>69</v>
      </c>
      <c r="G41" s="164" t="s">
        <v>154</v>
      </c>
    </row>
    <row r="42" spans="1:7" ht="19.95" customHeight="1">
      <c r="A42" s="160">
        <v>45704</v>
      </c>
      <c r="B42" s="161" t="s">
        <v>68</v>
      </c>
      <c r="C42" s="161" t="s">
        <v>448</v>
      </c>
      <c r="D42" s="162">
        <v>220</v>
      </c>
      <c r="E42" s="161" t="s">
        <v>449</v>
      </c>
      <c r="F42" s="163" t="s">
        <v>68</v>
      </c>
      <c r="G42" s="164" t="s">
        <v>154</v>
      </c>
    </row>
    <row r="43" spans="1:7" ht="19.95" customHeight="1">
      <c r="A43" s="160">
        <v>45712</v>
      </c>
      <c r="B43" s="161" t="s">
        <v>21</v>
      </c>
      <c r="C43" s="161" t="s">
        <v>450</v>
      </c>
      <c r="D43" s="162">
        <v>1100</v>
      </c>
      <c r="E43" s="161" t="s">
        <v>451</v>
      </c>
      <c r="F43" s="163" t="s">
        <v>21</v>
      </c>
      <c r="G43" s="164" t="s">
        <v>154</v>
      </c>
    </row>
    <row r="44" spans="1:7" ht="19.95" customHeight="1">
      <c r="A44" s="160">
        <v>45725</v>
      </c>
      <c r="B44" s="161" t="s">
        <v>23</v>
      </c>
      <c r="C44" s="161" t="s">
        <v>424</v>
      </c>
      <c r="D44" s="162">
        <v>2350</v>
      </c>
      <c r="E44" s="161" t="s">
        <v>425</v>
      </c>
      <c r="F44" s="163" t="s">
        <v>426</v>
      </c>
      <c r="G44" s="164" t="s">
        <v>154</v>
      </c>
    </row>
    <row r="45" spans="1:7" ht="19.95" customHeight="1">
      <c r="A45" s="160">
        <v>45730</v>
      </c>
      <c r="B45" s="161" t="s">
        <v>23</v>
      </c>
      <c r="C45" s="161" t="s">
        <v>28</v>
      </c>
      <c r="D45" s="162">
        <v>705</v>
      </c>
      <c r="E45" s="161" t="s">
        <v>427</v>
      </c>
      <c r="F45" s="163" t="s">
        <v>426</v>
      </c>
      <c r="G45" s="164" t="s">
        <v>154</v>
      </c>
    </row>
    <row r="46" spans="1:7" ht="19.95" customHeight="1">
      <c r="A46" s="160">
        <v>45735</v>
      </c>
      <c r="B46" s="161" t="s">
        <v>23</v>
      </c>
      <c r="C46" s="161" t="s">
        <v>29</v>
      </c>
      <c r="D46" s="162">
        <v>376</v>
      </c>
      <c r="E46" s="161" t="s">
        <v>428</v>
      </c>
      <c r="F46" s="163" t="s">
        <v>426</v>
      </c>
      <c r="G46" s="164" t="s">
        <v>154</v>
      </c>
    </row>
    <row r="47" spans="1:7" ht="19.95" customHeight="1">
      <c r="A47" s="160">
        <v>45740</v>
      </c>
      <c r="B47" s="161" t="s">
        <v>23</v>
      </c>
      <c r="C47" s="161" t="s">
        <v>31</v>
      </c>
      <c r="D47" s="162">
        <v>564</v>
      </c>
      <c r="E47" s="161" t="s">
        <v>429</v>
      </c>
      <c r="F47" s="163" t="s">
        <v>426</v>
      </c>
      <c r="G47" s="164" t="s">
        <v>154</v>
      </c>
    </row>
    <row r="48" spans="1:7" ht="19.95" customHeight="1">
      <c r="A48" s="160">
        <v>45743</v>
      </c>
      <c r="B48" s="161" t="s">
        <v>23</v>
      </c>
      <c r="C48" s="161" t="s">
        <v>430</v>
      </c>
      <c r="D48" s="162">
        <v>705</v>
      </c>
      <c r="E48" s="161" t="s">
        <v>431</v>
      </c>
      <c r="F48" s="163" t="s">
        <v>426</v>
      </c>
      <c r="G48" s="164" t="s">
        <v>154</v>
      </c>
    </row>
    <row r="49" spans="1:7" ht="19.95" customHeight="1">
      <c r="A49" s="160">
        <v>45720</v>
      </c>
      <c r="B49" s="161" t="s">
        <v>37</v>
      </c>
      <c r="C49" s="161" t="s">
        <v>38</v>
      </c>
      <c r="D49" s="162">
        <v>1330</v>
      </c>
      <c r="E49" s="161" t="s">
        <v>432</v>
      </c>
      <c r="F49" s="163" t="s">
        <v>433</v>
      </c>
      <c r="G49" s="164" t="s">
        <v>154</v>
      </c>
    </row>
    <row r="50" spans="1:7" ht="19.95" customHeight="1">
      <c r="A50" s="160">
        <v>45733</v>
      </c>
      <c r="B50" s="161" t="s">
        <v>37</v>
      </c>
      <c r="C50" s="161" t="s">
        <v>40</v>
      </c>
      <c r="D50" s="162">
        <v>285</v>
      </c>
      <c r="E50" s="161" t="s">
        <v>40</v>
      </c>
      <c r="F50" s="163" t="s">
        <v>433</v>
      </c>
      <c r="G50" s="164" t="s">
        <v>154</v>
      </c>
    </row>
    <row r="51" spans="1:7" ht="19.95" customHeight="1">
      <c r="A51" s="160">
        <v>45737</v>
      </c>
      <c r="B51" s="161" t="s">
        <v>37</v>
      </c>
      <c r="C51" s="161" t="s">
        <v>434</v>
      </c>
      <c r="D51" s="162">
        <v>285</v>
      </c>
      <c r="E51" s="161" t="s">
        <v>232</v>
      </c>
      <c r="F51" s="163" t="s">
        <v>433</v>
      </c>
      <c r="G51" s="164" t="s">
        <v>154</v>
      </c>
    </row>
    <row r="52" spans="1:7" ht="19.95" customHeight="1">
      <c r="A52" s="160">
        <v>45723</v>
      </c>
      <c r="B52" s="161" t="s">
        <v>44</v>
      </c>
      <c r="C52" s="161" t="s">
        <v>45</v>
      </c>
      <c r="D52" s="162">
        <v>660</v>
      </c>
      <c r="E52" s="161" t="s">
        <v>435</v>
      </c>
      <c r="F52" s="163" t="s">
        <v>44</v>
      </c>
      <c r="G52" s="164" t="s">
        <v>154</v>
      </c>
    </row>
    <row r="53" spans="1:7" ht="19.95" customHeight="1">
      <c r="A53" s="160">
        <v>45730</v>
      </c>
      <c r="B53" s="161" t="s">
        <v>44</v>
      </c>
      <c r="C53" s="161" t="s">
        <v>106</v>
      </c>
      <c r="D53" s="162">
        <v>220</v>
      </c>
      <c r="E53" s="161" t="s">
        <v>106</v>
      </c>
      <c r="F53" s="163" t="s">
        <v>44</v>
      </c>
      <c r="G53" s="164" t="s">
        <v>154</v>
      </c>
    </row>
    <row r="54" spans="1:7" ht="19.95" customHeight="1">
      <c r="A54" s="160">
        <v>45740</v>
      </c>
      <c r="B54" s="161" t="s">
        <v>44</v>
      </c>
      <c r="C54" s="161" t="s">
        <v>49</v>
      </c>
      <c r="D54" s="162">
        <v>220</v>
      </c>
      <c r="E54" s="161" t="s">
        <v>436</v>
      </c>
      <c r="F54" s="163" t="s">
        <v>44</v>
      </c>
      <c r="G54" s="164" t="s">
        <v>154</v>
      </c>
    </row>
    <row r="55" spans="1:7" ht="19.95" customHeight="1">
      <c r="A55" s="160">
        <v>45725</v>
      </c>
      <c r="B55" s="161" t="s">
        <v>50</v>
      </c>
      <c r="C55" s="161" t="s">
        <v>51</v>
      </c>
      <c r="D55" s="162">
        <v>490</v>
      </c>
      <c r="E55" s="161" t="s">
        <v>437</v>
      </c>
      <c r="F55" s="163" t="s">
        <v>438</v>
      </c>
      <c r="G55" s="164" t="s">
        <v>154</v>
      </c>
    </row>
    <row r="56" spans="1:7" ht="19.95" customHeight="1">
      <c r="A56" s="160">
        <v>45735</v>
      </c>
      <c r="B56" s="161" t="s">
        <v>50</v>
      </c>
      <c r="C56" s="161" t="s">
        <v>52</v>
      </c>
      <c r="D56" s="162">
        <v>210</v>
      </c>
      <c r="E56" s="161" t="s">
        <v>439</v>
      </c>
      <c r="F56" s="163" t="s">
        <v>438</v>
      </c>
      <c r="G56" s="164" t="s">
        <v>154</v>
      </c>
    </row>
    <row r="57" spans="1:7" ht="19.95" customHeight="1">
      <c r="A57" s="160">
        <v>45720</v>
      </c>
      <c r="B57" s="161" t="s">
        <v>54</v>
      </c>
      <c r="C57" s="161" t="s">
        <v>440</v>
      </c>
      <c r="D57" s="162">
        <v>1500</v>
      </c>
      <c r="E57" s="161" t="s">
        <v>441</v>
      </c>
      <c r="F57" s="163" t="s">
        <v>442</v>
      </c>
      <c r="G57" s="164" t="s">
        <v>154</v>
      </c>
    </row>
    <row r="58" spans="1:7" ht="19.95" customHeight="1">
      <c r="A58" s="160">
        <v>45727</v>
      </c>
      <c r="B58" s="161" t="s">
        <v>58</v>
      </c>
      <c r="C58" s="161" t="s">
        <v>59</v>
      </c>
      <c r="D58" s="162">
        <v>200</v>
      </c>
      <c r="E58" s="161" t="s">
        <v>443</v>
      </c>
      <c r="F58" s="163" t="s">
        <v>444</v>
      </c>
      <c r="G58" s="164" t="s">
        <v>154</v>
      </c>
    </row>
    <row r="59" spans="1:7" ht="19.95" customHeight="1">
      <c r="A59" s="160">
        <v>45730</v>
      </c>
      <c r="B59" s="161" t="s">
        <v>62</v>
      </c>
      <c r="C59" s="161" t="s">
        <v>67</v>
      </c>
      <c r="D59" s="162">
        <v>100</v>
      </c>
      <c r="E59" s="161" t="s">
        <v>445</v>
      </c>
      <c r="F59" s="163" t="s">
        <v>62</v>
      </c>
      <c r="G59" s="164" t="s">
        <v>154</v>
      </c>
    </row>
    <row r="60" spans="1:7" ht="19.95" customHeight="1">
      <c r="A60" s="160">
        <v>45735</v>
      </c>
      <c r="B60" s="161" t="s">
        <v>62</v>
      </c>
      <c r="C60" s="161" t="s">
        <v>64</v>
      </c>
      <c r="D60" s="162">
        <v>400</v>
      </c>
      <c r="E60" s="161" t="s">
        <v>446</v>
      </c>
      <c r="F60" s="163" t="s">
        <v>62</v>
      </c>
      <c r="G60" s="164" t="s">
        <v>154</v>
      </c>
    </row>
    <row r="61" spans="1:7" ht="19.95" customHeight="1">
      <c r="A61" s="160">
        <v>45716</v>
      </c>
      <c r="B61" s="161" t="s">
        <v>69</v>
      </c>
      <c r="C61" s="161" t="s">
        <v>70</v>
      </c>
      <c r="D61" s="162">
        <v>100</v>
      </c>
      <c r="E61" s="161" t="s">
        <v>447</v>
      </c>
      <c r="F61" s="163" t="s">
        <v>69</v>
      </c>
      <c r="G61" s="164" t="s">
        <v>154</v>
      </c>
    </row>
    <row r="62" spans="1:7" ht="19.95" customHeight="1">
      <c r="A62" s="160">
        <v>45732</v>
      </c>
      <c r="B62" s="161" t="s">
        <v>68</v>
      </c>
      <c r="C62" s="161" t="s">
        <v>448</v>
      </c>
      <c r="D62" s="162">
        <v>150</v>
      </c>
      <c r="E62" s="161" t="s">
        <v>449</v>
      </c>
      <c r="F62" s="163" t="s">
        <v>68</v>
      </c>
      <c r="G62" s="164" t="s">
        <v>154</v>
      </c>
    </row>
    <row r="63" spans="1:7" ht="19.95" customHeight="1">
      <c r="A63" s="160">
        <v>45740</v>
      </c>
      <c r="B63" s="161" t="s">
        <v>21</v>
      </c>
      <c r="C63" s="161" t="s">
        <v>450</v>
      </c>
      <c r="D63" s="162">
        <v>900</v>
      </c>
      <c r="E63" s="161" t="s">
        <v>451</v>
      </c>
      <c r="F63" s="163" t="s">
        <v>21</v>
      </c>
      <c r="G63" s="164" t="s">
        <v>154</v>
      </c>
    </row>
    <row r="64" spans="1:7" ht="19.95" customHeight="1">
      <c r="A64" s="160">
        <v>45756</v>
      </c>
      <c r="B64" s="161" t="s">
        <v>23</v>
      </c>
      <c r="C64" s="161" t="s">
        <v>424</v>
      </c>
      <c r="D64" s="162">
        <v>2450</v>
      </c>
      <c r="E64" s="161" t="s">
        <v>425</v>
      </c>
      <c r="F64" s="163" t="s">
        <v>426</v>
      </c>
      <c r="G64" s="164" t="s">
        <v>154</v>
      </c>
    </row>
    <row r="65" spans="1:7" ht="19.95" customHeight="1">
      <c r="A65" s="160">
        <v>45761</v>
      </c>
      <c r="B65" s="161" t="s">
        <v>23</v>
      </c>
      <c r="C65" s="161" t="s">
        <v>28</v>
      </c>
      <c r="D65" s="162">
        <v>735</v>
      </c>
      <c r="E65" s="161" t="s">
        <v>427</v>
      </c>
      <c r="F65" s="163" t="s">
        <v>426</v>
      </c>
      <c r="G65" s="164" t="s">
        <v>154</v>
      </c>
    </row>
    <row r="66" spans="1:7" ht="19.95" customHeight="1">
      <c r="A66" s="160">
        <v>45766</v>
      </c>
      <c r="B66" s="161" t="s">
        <v>23</v>
      </c>
      <c r="C66" s="161" t="s">
        <v>29</v>
      </c>
      <c r="D66" s="162">
        <v>392</v>
      </c>
      <c r="E66" s="161" t="s">
        <v>428</v>
      </c>
      <c r="F66" s="163" t="s">
        <v>426</v>
      </c>
      <c r="G66" s="164" t="s">
        <v>154</v>
      </c>
    </row>
    <row r="67" spans="1:7" ht="19.95" customHeight="1">
      <c r="A67" s="160">
        <v>45771</v>
      </c>
      <c r="B67" s="161" t="s">
        <v>23</v>
      </c>
      <c r="C67" s="161" t="s">
        <v>31</v>
      </c>
      <c r="D67" s="162">
        <v>588</v>
      </c>
      <c r="E67" s="161" t="s">
        <v>429</v>
      </c>
      <c r="F67" s="163" t="s">
        <v>426</v>
      </c>
      <c r="G67" s="164" t="s">
        <v>154</v>
      </c>
    </row>
    <row r="68" spans="1:7" ht="19.95" customHeight="1">
      <c r="A68" s="160">
        <v>45774</v>
      </c>
      <c r="B68" s="161" t="s">
        <v>23</v>
      </c>
      <c r="C68" s="161" t="s">
        <v>430</v>
      </c>
      <c r="D68" s="162">
        <v>735</v>
      </c>
      <c r="E68" s="161" t="s">
        <v>431</v>
      </c>
      <c r="F68" s="163" t="s">
        <v>426</v>
      </c>
      <c r="G68" s="164" t="s">
        <v>154</v>
      </c>
    </row>
    <row r="69" spans="1:7" ht="19.95" customHeight="1">
      <c r="A69" s="160">
        <v>45751</v>
      </c>
      <c r="B69" s="161" t="s">
        <v>37</v>
      </c>
      <c r="C69" s="161" t="s">
        <v>38</v>
      </c>
      <c r="D69" s="162">
        <v>1435</v>
      </c>
      <c r="E69" s="161" t="s">
        <v>432</v>
      </c>
      <c r="F69" s="163" t="s">
        <v>433</v>
      </c>
      <c r="G69" s="164" t="s">
        <v>154</v>
      </c>
    </row>
    <row r="70" spans="1:7" ht="19.95" customHeight="1">
      <c r="A70" s="160">
        <v>45764</v>
      </c>
      <c r="B70" s="161" t="s">
        <v>37</v>
      </c>
      <c r="C70" s="161" t="s">
        <v>40</v>
      </c>
      <c r="D70" s="162">
        <v>307.5</v>
      </c>
      <c r="E70" s="161" t="s">
        <v>40</v>
      </c>
      <c r="F70" s="163" t="s">
        <v>433</v>
      </c>
      <c r="G70" s="164" t="s">
        <v>154</v>
      </c>
    </row>
    <row r="71" spans="1:7" ht="19.95" customHeight="1">
      <c r="A71" s="160">
        <v>45768</v>
      </c>
      <c r="B71" s="161" t="s">
        <v>37</v>
      </c>
      <c r="C71" s="161" t="s">
        <v>434</v>
      </c>
      <c r="D71" s="162">
        <v>307.5</v>
      </c>
      <c r="E71" s="161" t="s">
        <v>232</v>
      </c>
      <c r="F71" s="163" t="s">
        <v>433</v>
      </c>
      <c r="G71" s="164" t="s">
        <v>154</v>
      </c>
    </row>
    <row r="72" spans="1:7" ht="19.95" customHeight="1">
      <c r="A72" s="160">
        <v>45754</v>
      </c>
      <c r="B72" s="161" t="s">
        <v>44</v>
      </c>
      <c r="C72" s="161" t="s">
        <v>45</v>
      </c>
      <c r="D72" s="162">
        <v>780</v>
      </c>
      <c r="E72" s="161" t="s">
        <v>435</v>
      </c>
      <c r="F72" s="163" t="s">
        <v>44</v>
      </c>
      <c r="G72" s="164" t="s">
        <v>154</v>
      </c>
    </row>
    <row r="73" spans="1:7" ht="19.95" customHeight="1">
      <c r="A73" s="160">
        <v>45761</v>
      </c>
      <c r="B73" s="161" t="s">
        <v>44</v>
      </c>
      <c r="C73" s="161" t="s">
        <v>106</v>
      </c>
      <c r="D73" s="162">
        <v>260</v>
      </c>
      <c r="E73" s="161" t="s">
        <v>106</v>
      </c>
      <c r="F73" s="163" t="s">
        <v>44</v>
      </c>
      <c r="G73" s="164" t="s">
        <v>154</v>
      </c>
    </row>
    <row r="74" spans="1:7" ht="19.95" customHeight="1">
      <c r="A74" s="160">
        <v>45771</v>
      </c>
      <c r="B74" s="161" t="s">
        <v>44</v>
      </c>
      <c r="C74" s="161" t="s">
        <v>49</v>
      </c>
      <c r="D74" s="162">
        <v>260</v>
      </c>
      <c r="E74" s="161" t="s">
        <v>436</v>
      </c>
      <c r="F74" s="163" t="s">
        <v>44</v>
      </c>
      <c r="G74" s="164" t="s">
        <v>154</v>
      </c>
    </row>
    <row r="75" spans="1:7" ht="19.95" customHeight="1">
      <c r="A75" s="160">
        <v>45756</v>
      </c>
      <c r="B75" s="161" t="s">
        <v>50</v>
      </c>
      <c r="C75" s="161" t="s">
        <v>51</v>
      </c>
      <c r="D75" s="162">
        <v>630</v>
      </c>
      <c r="E75" s="161" t="s">
        <v>437</v>
      </c>
      <c r="F75" s="163" t="s">
        <v>438</v>
      </c>
      <c r="G75" s="164" t="s">
        <v>154</v>
      </c>
    </row>
    <row r="76" spans="1:7" ht="19.95" customHeight="1">
      <c r="A76" s="160">
        <v>45766</v>
      </c>
      <c r="B76" s="161" t="s">
        <v>50</v>
      </c>
      <c r="C76" s="161" t="s">
        <v>52</v>
      </c>
      <c r="D76" s="162">
        <v>270</v>
      </c>
      <c r="E76" s="161" t="s">
        <v>439</v>
      </c>
      <c r="F76" s="163" t="s">
        <v>438</v>
      </c>
      <c r="G76" s="164" t="s">
        <v>154</v>
      </c>
    </row>
    <row r="77" spans="1:7" ht="19.95" customHeight="1">
      <c r="A77" s="160">
        <v>45751</v>
      </c>
      <c r="B77" s="161" t="s">
        <v>54</v>
      </c>
      <c r="C77" s="161" t="s">
        <v>440</v>
      </c>
      <c r="D77" s="162">
        <v>1500</v>
      </c>
      <c r="E77" s="161" t="s">
        <v>441</v>
      </c>
      <c r="F77" s="163" t="s">
        <v>442</v>
      </c>
      <c r="G77" s="164" t="s">
        <v>154</v>
      </c>
    </row>
    <row r="78" spans="1:7" ht="19.95" customHeight="1">
      <c r="A78" s="160">
        <v>45758</v>
      </c>
      <c r="B78" s="161" t="s">
        <v>58</v>
      </c>
      <c r="C78" s="161" t="s">
        <v>59</v>
      </c>
      <c r="D78" s="162">
        <v>400</v>
      </c>
      <c r="E78" s="161" t="s">
        <v>443</v>
      </c>
      <c r="F78" s="163" t="s">
        <v>444</v>
      </c>
      <c r="G78" s="164" t="s">
        <v>154</v>
      </c>
    </row>
    <row r="79" spans="1:7" ht="19.95" customHeight="1">
      <c r="A79" s="160">
        <v>45761</v>
      </c>
      <c r="B79" s="161" t="s">
        <v>62</v>
      </c>
      <c r="C79" s="161" t="s">
        <v>67</v>
      </c>
      <c r="D79" s="162">
        <v>130</v>
      </c>
      <c r="E79" s="161" t="s">
        <v>445</v>
      </c>
      <c r="F79" s="163" t="s">
        <v>62</v>
      </c>
      <c r="G79" s="164" t="s">
        <v>154</v>
      </c>
    </row>
    <row r="80" spans="1:7" ht="19.95" customHeight="1">
      <c r="A80" s="160">
        <v>45766</v>
      </c>
      <c r="B80" s="161" t="s">
        <v>62</v>
      </c>
      <c r="C80" s="161" t="s">
        <v>64</v>
      </c>
      <c r="D80" s="162">
        <v>520</v>
      </c>
      <c r="E80" s="161" t="s">
        <v>446</v>
      </c>
      <c r="F80" s="163" t="s">
        <v>62</v>
      </c>
      <c r="G80" s="164" t="s">
        <v>154</v>
      </c>
    </row>
    <row r="81" spans="1:7" ht="19.95" customHeight="1">
      <c r="A81" s="160">
        <v>45747</v>
      </c>
      <c r="B81" s="161" t="s">
        <v>69</v>
      </c>
      <c r="C81" s="161" t="s">
        <v>70</v>
      </c>
      <c r="D81" s="162">
        <v>100</v>
      </c>
      <c r="E81" s="161" t="s">
        <v>447</v>
      </c>
      <c r="F81" s="163" t="s">
        <v>69</v>
      </c>
      <c r="G81" s="164" t="s">
        <v>154</v>
      </c>
    </row>
    <row r="82" spans="1:7" ht="19.95" customHeight="1">
      <c r="A82" s="160">
        <v>45763</v>
      </c>
      <c r="B82" s="161" t="s">
        <v>68</v>
      </c>
      <c r="C82" s="161" t="s">
        <v>448</v>
      </c>
      <c r="D82" s="162">
        <v>250</v>
      </c>
      <c r="E82" s="161" t="s">
        <v>449</v>
      </c>
      <c r="F82" s="163" t="s">
        <v>68</v>
      </c>
      <c r="G82" s="164" t="s">
        <v>154</v>
      </c>
    </row>
    <row r="83" spans="1:7" ht="19.95" customHeight="1">
      <c r="A83" s="160">
        <v>45771</v>
      </c>
      <c r="B83" s="161" t="s">
        <v>21</v>
      </c>
      <c r="C83" s="161" t="s">
        <v>450</v>
      </c>
      <c r="D83" s="162">
        <v>1050</v>
      </c>
      <c r="E83" s="161" t="s">
        <v>451</v>
      </c>
      <c r="F83" s="163" t="s">
        <v>21</v>
      </c>
      <c r="G83" s="164" t="s">
        <v>154</v>
      </c>
    </row>
    <row r="84" spans="1:7" ht="19.95" customHeight="1">
      <c r="A84" s="160">
        <v>45786</v>
      </c>
      <c r="B84" s="161" t="s">
        <v>23</v>
      </c>
      <c r="C84" s="161" t="s">
        <v>424</v>
      </c>
      <c r="D84" s="162">
        <v>2400</v>
      </c>
      <c r="E84" s="161" t="s">
        <v>425</v>
      </c>
      <c r="F84" s="163" t="s">
        <v>426</v>
      </c>
      <c r="G84" s="164" t="s">
        <v>154</v>
      </c>
    </row>
    <row r="85" spans="1:7" ht="19.95" customHeight="1">
      <c r="A85" s="160">
        <v>45791</v>
      </c>
      <c r="B85" s="161" t="s">
        <v>23</v>
      </c>
      <c r="C85" s="161" t="s">
        <v>28</v>
      </c>
      <c r="D85" s="162">
        <v>720</v>
      </c>
      <c r="E85" s="161" t="s">
        <v>427</v>
      </c>
      <c r="F85" s="163" t="s">
        <v>426</v>
      </c>
      <c r="G85" s="164" t="s">
        <v>154</v>
      </c>
    </row>
    <row r="86" spans="1:7" ht="19.95" customHeight="1">
      <c r="A86" s="160">
        <v>45796</v>
      </c>
      <c r="B86" s="161" t="s">
        <v>23</v>
      </c>
      <c r="C86" s="161" t="s">
        <v>29</v>
      </c>
      <c r="D86" s="162">
        <v>384</v>
      </c>
      <c r="E86" s="161" t="s">
        <v>428</v>
      </c>
      <c r="F86" s="163" t="s">
        <v>426</v>
      </c>
      <c r="G86" s="164" t="s">
        <v>154</v>
      </c>
    </row>
    <row r="87" spans="1:7" ht="19.95" customHeight="1">
      <c r="A87" s="160">
        <v>45801</v>
      </c>
      <c r="B87" s="161" t="s">
        <v>23</v>
      </c>
      <c r="C87" s="161" t="s">
        <v>31</v>
      </c>
      <c r="D87" s="162">
        <v>576</v>
      </c>
      <c r="E87" s="161" t="s">
        <v>429</v>
      </c>
      <c r="F87" s="163" t="s">
        <v>426</v>
      </c>
      <c r="G87" s="164" t="s">
        <v>154</v>
      </c>
    </row>
    <row r="88" spans="1:7" ht="19.95" customHeight="1">
      <c r="A88" s="160">
        <v>45804</v>
      </c>
      <c r="B88" s="161" t="s">
        <v>23</v>
      </c>
      <c r="C88" s="161" t="s">
        <v>430</v>
      </c>
      <c r="D88" s="162">
        <v>720</v>
      </c>
      <c r="E88" s="161" t="s">
        <v>431</v>
      </c>
      <c r="F88" s="163" t="s">
        <v>426</v>
      </c>
      <c r="G88" s="164" t="s">
        <v>154</v>
      </c>
    </row>
    <row r="89" spans="1:7" ht="19.95" customHeight="1">
      <c r="A89" s="160">
        <v>45781</v>
      </c>
      <c r="B89" s="161" t="s">
        <v>37</v>
      </c>
      <c r="C89" s="161" t="s">
        <v>38</v>
      </c>
      <c r="D89" s="162">
        <v>1400</v>
      </c>
      <c r="E89" s="161" t="s">
        <v>432</v>
      </c>
      <c r="F89" s="163" t="s">
        <v>433</v>
      </c>
      <c r="G89" s="164" t="s">
        <v>154</v>
      </c>
    </row>
    <row r="90" spans="1:7" ht="19.95" customHeight="1">
      <c r="A90" s="160">
        <v>45794</v>
      </c>
      <c r="B90" s="161" t="s">
        <v>37</v>
      </c>
      <c r="C90" s="161" t="s">
        <v>40</v>
      </c>
      <c r="D90" s="162">
        <v>300</v>
      </c>
      <c r="E90" s="161" t="s">
        <v>40</v>
      </c>
      <c r="F90" s="163" t="s">
        <v>433</v>
      </c>
      <c r="G90" s="164" t="s">
        <v>154</v>
      </c>
    </row>
    <row r="91" spans="1:7" ht="19.95" customHeight="1">
      <c r="A91" s="160">
        <v>45798</v>
      </c>
      <c r="B91" s="161" t="s">
        <v>37</v>
      </c>
      <c r="C91" s="161" t="s">
        <v>434</v>
      </c>
      <c r="D91" s="162">
        <v>300</v>
      </c>
      <c r="E91" s="161" t="s">
        <v>232</v>
      </c>
      <c r="F91" s="163" t="s">
        <v>433</v>
      </c>
      <c r="G91" s="164" t="s">
        <v>154</v>
      </c>
    </row>
    <row r="92" spans="1:7" ht="19.95" customHeight="1">
      <c r="A92" s="160">
        <v>45784</v>
      </c>
      <c r="B92" s="161" t="s">
        <v>44</v>
      </c>
      <c r="C92" s="161" t="s">
        <v>45</v>
      </c>
      <c r="D92" s="162">
        <v>720</v>
      </c>
      <c r="E92" s="161" t="s">
        <v>435</v>
      </c>
      <c r="F92" s="163" t="s">
        <v>44</v>
      </c>
      <c r="G92" s="164" t="s">
        <v>154</v>
      </c>
    </row>
    <row r="93" spans="1:7" ht="19.95" customHeight="1">
      <c r="A93" s="160">
        <v>45791</v>
      </c>
      <c r="B93" s="161" t="s">
        <v>44</v>
      </c>
      <c r="C93" s="161" t="s">
        <v>106</v>
      </c>
      <c r="D93" s="162">
        <v>240</v>
      </c>
      <c r="E93" s="161" t="s">
        <v>106</v>
      </c>
      <c r="F93" s="163" t="s">
        <v>44</v>
      </c>
      <c r="G93" s="164" t="s">
        <v>154</v>
      </c>
    </row>
    <row r="94" spans="1:7" ht="19.95" customHeight="1">
      <c r="A94" s="160">
        <v>45801</v>
      </c>
      <c r="B94" s="161" t="s">
        <v>44</v>
      </c>
      <c r="C94" s="161" t="s">
        <v>49</v>
      </c>
      <c r="D94" s="162">
        <v>240</v>
      </c>
      <c r="E94" s="161" t="s">
        <v>436</v>
      </c>
      <c r="F94" s="163" t="s">
        <v>44</v>
      </c>
      <c r="G94" s="164" t="s">
        <v>154</v>
      </c>
    </row>
    <row r="95" spans="1:7" ht="19.95" customHeight="1">
      <c r="A95" s="160">
        <v>45786</v>
      </c>
      <c r="B95" s="161" t="s">
        <v>50</v>
      </c>
      <c r="C95" s="161" t="s">
        <v>51</v>
      </c>
      <c r="D95" s="162">
        <v>560</v>
      </c>
      <c r="E95" s="161" t="s">
        <v>437</v>
      </c>
      <c r="F95" s="163" t="s">
        <v>438</v>
      </c>
      <c r="G95" s="164" t="s">
        <v>154</v>
      </c>
    </row>
    <row r="96" spans="1:7" ht="19.95" customHeight="1">
      <c r="A96" s="160">
        <v>45796</v>
      </c>
      <c r="B96" s="161" t="s">
        <v>50</v>
      </c>
      <c r="C96" s="161" t="s">
        <v>52</v>
      </c>
      <c r="D96" s="162">
        <v>240</v>
      </c>
      <c r="E96" s="161" t="s">
        <v>439</v>
      </c>
      <c r="F96" s="163" t="s">
        <v>438</v>
      </c>
      <c r="G96" s="164" t="s">
        <v>154</v>
      </c>
    </row>
    <row r="97" spans="1:7" ht="19.95" customHeight="1">
      <c r="A97" s="160">
        <v>45781</v>
      </c>
      <c r="B97" s="161" t="s">
        <v>54</v>
      </c>
      <c r="C97" s="161" t="s">
        <v>440</v>
      </c>
      <c r="D97" s="162">
        <v>1500</v>
      </c>
      <c r="E97" s="161" t="s">
        <v>441</v>
      </c>
      <c r="F97" s="163" t="s">
        <v>442</v>
      </c>
      <c r="G97" s="164" t="s">
        <v>154</v>
      </c>
    </row>
    <row r="98" spans="1:7" ht="19.95" customHeight="1">
      <c r="A98" s="160">
        <v>45788</v>
      </c>
      <c r="B98" s="161" t="s">
        <v>58</v>
      </c>
      <c r="C98" s="161" t="s">
        <v>59</v>
      </c>
      <c r="D98" s="162">
        <v>300</v>
      </c>
      <c r="E98" s="161" t="s">
        <v>443</v>
      </c>
      <c r="F98" s="163" t="s">
        <v>444</v>
      </c>
      <c r="G98" s="164" t="s">
        <v>154</v>
      </c>
    </row>
    <row r="99" spans="1:7" ht="19.95" customHeight="1">
      <c r="A99" s="160">
        <v>45791</v>
      </c>
      <c r="B99" s="161" t="s">
        <v>62</v>
      </c>
      <c r="C99" s="161" t="s">
        <v>67</v>
      </c>
      <c r="D99" s="162">
        <v>120</v>
      </c>
      <c r="E99" s="161" t="s">
        <v>445</v>
      </c>
      <c r="F99" s="163" t="s">
        <v>62</v>
      </c>
      <c r="G99" s="164" t="s">
        <v>154</v>
      </c>
    </row>
    <row r="100" spans="1:7" ht="19.95" customHeight="1">
      <c r="A100" s="160">
        <v>45796</v>
      </c>
      <c r="B100" s="161" t="s">
        <v>62</v>
      </c>
      <c r="C100" s="161" t="s">
        <v>64</v>
      </c>
      <c r="D100" s="162">
        <v>480</v>
      </c>
      <c r="E100" s="161" t="s">
        <v>446</v>
      </c>
      <c r="F100" s="163" t="s">
        <v>62</v>
      </c>
      <c r="G100" s="164" t="s">
        <v>154</v>
      </c>
    </row>
    <row r="101" spans="1:7" ht="19.95" customHeight="1">
      <c r="A101" s="160">
        <v>45777</v>
      </c>
      <c r="B101" s="161" t="s">
        <v>69</v>
      </c>
      <c r="C101" s="161" t="s">
        <v>70</v>
      </c>
      <c r="D101" s="162">
        <v>100</v>
      </c>
      <c r="E101" s="161" t="s">
        <v>447</v>
      </c>
      <c r="F101" s="163" t="s">
        <v>69</v>
      </c>
      <c r="G101" s="164" t="s">
        <v>154</v>
      </c>
    </row>
    <row r="102" spans="1:7" ht="19.95" customHeight="1">
      <c r="A102" s="160">
        <v>45793</v>
      </c>
      <c r="B102" s="161" t="s">
        <v>68</v>
      </c>
      <c r="C102" s="161" t="s">
        <v>448</v>
      </c>
      <c r="D102" s="162">
        <v>200</v>
      </c>
      <c r="E102" s="161" t="s">
        <v>449</v>
      </c>
      <c r="F102" s="163" t="s">
        <v>68</v>
      </c>
      <c r="G102" s="164" t="s">
        <v>154</v>
      </c>
    </row>
    <row r="103" spans="1:7" ht="19.95" customHeight="1">
      <c r="A103" s="160">
        <v>45801</v>
      </c>
      <c r="B103" s="161" t="s">
        <v>21</v>
      </c>
      <c r="C103" s="161" t="s">
        <v>450</v>
      </c>
      <c r="D103" s="162">
        <v>1000</v>
      </c>
      <c r="E103" s="161" t="s">
        <v>451</v>
      </c>
      <c r="F103" s="163" t="s">
        <v>21</v>
      </c>
      <c r="G103" s="164" t="s">
        <v>154</v>
      </c>
    </row>
    <row r="104" spans="1:7" ht="19.95" customHeight="1">
      <c r="A104" s="160">
        <v>45817</v>
      </c>
      <c r="B104" s="161" t="s">
        <v>23</v>
      </c>
      <c r="C104" s="161" t="s">
        <v>424</v>
      </c>
      <c r="D104" s="162">
        <v>2375</v>
      </c>
      <c r="E104" s="161" t="s">
        <v>425</v>
      </c>
      <c r="F104" s="163" t="s">
        <v>426</v>
      </c>
      <c r="G104" s="164" t="s">
        <v>154</v>
      </c>
    </row>
    <row r="105" spans="1:7" ht="19.95" customHeight="1">
      <c r="A105" s="160">
        <v>45822</v>
      </c>
      <c r="B105" s="161" t="s">
        <v>23</v>
      </c>
      <c r="C105" s="161" t="s">
        <v>28</v>
      </c>
      <c r="D105" s="162">
        <v>712.5</v>
      </c>
      <c r="E105" s="161" t="s">
        <v>427</v>
      </c>
      <c r="F105" s="163" t="s">
        <v>426</v>
      </c>
      <c r="G105" s="164" t="s">
        <v>154</v>
      </c>
    </row>
    <row r="106" spans="1:7" ht="19.95" customHeight="1">
      <c r="A106" s="160">
        <v>45827</v>
      </c>
      <c r="B106" s="161" t="s">
        <v>23</v>
      </c>
      <c r="C106" s="161" t="s">
        <v>29</v>
      </c>
      <c r="D106" s="162">
        <v>380</v>
      </c>
      <c r="E106" s="161" t="s">
        <v>428</v>
      </c>
      <c r="F106" s="163" t="s">
        <v>426</v>
      </c>
      <c r="G106" s="164" t="s">
        <v>154</v>
      </c>
    </row>
    <row r="107" spans="1:7" ht="19.95" customHeight="1">
      <c r="A107" s="160">
        <v>45832</v>
      </c>
      <c r="B107" s="161" t="s">
        <v>23</v>
      </c>
      <c r="C107" s="161" t="s">
        <v>31</v>
      </c>
      <c r="D107" s="162">
        <v>570</v>
      </c>
      <c r="E107" s="161" t="s">
        <v>429</v>
      </c>
      <c r="F107" s="163" t="s">
        <v>426</v>
      </c>
      <c r="G107" s="164" t="s">
        <v>154</v>
      </c>
    </row>
    <row r="108" spans="1:7" ht="19.95" customHeight="1">
      <c r="A108" s="160">
        <v>45835</v>
      </c>
      <c r="B108" s="161" t="s">
        <v>23</v>
      </c>
      <c r="C108" s="161" t="s">
        <v>430</v>
      </c>
      <c r="D108" s="162">
        <v>712.5</v>
      </c>
      <c r="E108" s="161" t="s">
        <v>431</v>
      </c>
      <c r="F108" s="163" t="s">
        <v>426</v>
      </c>
      <c r="G108" s="164" t="s">
        <v>154</v>
      </c>
    </row>
    <row r="109" spans="1:7" ht="19.95" customHeight="1">
      <c r="A109" s="160">
        <v>45812</v>
      </c>
      <c r="B109" s="161" t="s">
        <v>37</v>
      </c>
      <c r="C109" s="161" t="s">
        <v>38</v>
      </c>
      <c r="D109" s="162">
        <v>1386</v>
      </c>
      <c r="E109" s="161" t="s">
        <v>432</v>
      </c>
      <c r="F109" s="163" t="s">
        <v>433</v>
      </c>
      <c r="G109" s="164" t="s">
        <v>154</v>
      </c>
    </row>
    <row r="110" spans="1:7" ht="19.95" customHeight="1">
      <c r="A110" s="160">
        <v>45825</v>
      </c>
      <c r="B110" s="161" t="s">
        <v>37</v>
      </c>
      <c r="C110" s="161" t="s">
        <v>40</v>
      </c>
      <c r="D110" s="162">
        <v>297</v>
      </c>
      <c r="E110" s="161" t="s">
        <v>40</v>
      </c>
      <c r="F110" s="163" t="s">
        <v>433</v>
      </c>
      <c r="G110" s="164" t="s">
        <v>154</v>
      </c>
    </row>
    <row r="111" spans="1:7" ht="19.95" customHeight="1">
      <c r="A111" s="160">
        <v>45829</v>
      </c>
      <c r="B111" s="161" t="s">
        <v>37</v>
      </c>
      <c r="C111" s="161" t="s">
        <v>434</v>
      </c>
      <c r="D111" s="162">
        <v>297</v>
      </c>
      <c r="E111" s="161" t="s">
        <v>232</v>
      </c>
      <c r="F111" s="163" t="s">
        <v>433</v>
      </c>
      <c r="G111" s="164" t="s">
        <v>154</v>
      </c>
    </row>
    <row r="112" spans="1:7" ht="19.95" customHeight="1">
      <c r="A112" s="160">
        <v>45815</v>
      </c>
      <c r="B112" s="161" t="s">
        <v>44</v>
      </c>
      <c r="C112" s="161" t="s">
        <v>45</v>
      </c>
      <c r="D112" s="162">
        <v>708</v>
      </c>
      <c r="E112" s="161" t="s">
        <v>435</v>
      </c>
      <c r="F112" s="163" t="s">
        <v>44</v>
      </c>
      <c r="G112" s="164" t="s">
        <v>154</v>
      </c>
    </row>
    <row r="113" spans="1:7" ht="19.95" customHeight="1">
      <c r="A113" s="160">
        <v>45822</v>
      </c>
      <c r="B113" s="161" t="s">
        <v>44</v>
      </c>
      <c r="C113" s="161" t="s">
        <v>106</v>
      </c>
      <c r="D113" s="162">
        <v>236</v>
      </c>
      <c r="E113" s="161" t="s">
        <v>106</v>
      </c>
      <c r="F113" s="163" t="s">
        <v>44</v>
      </c>
      <c r="G113" s="164" t="s">
        <v>154</v>
      </c>
    </row>
    <row r="114" spans="1:7" ht="19.95" customHeight="1">
      <c r="A114" s="160">
        <v>45832</v>
      </c>
      <c r="B114" s="161" t="s">
        <v>44</v>
      </c>
      <c r="C114" s="161" t="s">
        <v>49</v>
      </c>
      <c r="D114" s="162">
        <v>236</v>
      </c>
      <c r="E114" s="161" t="s">
        <v>436</v>
      </c>
      <c r="F114" s="163" t="s">
        <v>44</v>
      </c>
      <c r="G114" s="164" t="s">
        <v>154</v>
      </c>
    </row>
    <row r="115" spans="1:7" ht="19.95" customHeight="1">
      <c r="A115" s="160">
        <v>45817</v>
      </c>
      <c r="B115" s="161" t="s">
        <v>50</v>
      </c>
      <c r="C115" s="161" t="s">
        <v>51</v>
      </c>
      <c r="D115" s="162">
        <v>546</v>
      </c>
      <c r="E115" s="161" t="s">
        <v>437</v>
      </c>
      <c r="F115" s="163" t="s">
        <v>438</v>
      </c>
      <c r="G115" s="164" t="s">
        <v>154</v>
      </c>
    </row>
    <row r="116" spans="1:7" ht="19.95" customHeight="1">
      <c r="A116" s="160">
        <v>45827</v>
      </c>
      <c r="B116" s="161" t="s">
        <v>50</v>
      </c>
      <c r="C116" s="161" t="s">
        <v>52</v>
      </c>
      <c r="D116" s="162">
        <v>234</v>
      </c>
      <c r="E116" s="161" t="s">
        <v>439</v>
      </c>
      <c r="F116" s="163" t="s">
        <v>438</v>
      </c>
      <c r="G116" s="164" t="s">
        <v>154</v>
      </c>
    </row>
    <row r="117" spans="1:7" ht="19.95" customHeight="1">
      <c r="A117" s="165">
        <v>45812</v>
      </c>
      <c r="B117" s="166" t="s">
        <v>54</v>
      </c>
      <c r="C117" s="166" t="s">
        <v>440</v>
      </c>
      <c r="D117" s="167">
        <v>1500</v>
      </c>
      <c r="E117" s="166" t="s">
        <v>441</v>
      </c>
      <c r="F117" s="168" t="s">
        <v>442</v>
      </c>
      <c r="G117" s="169" t="s">
        <v>154</v>
      </c>
    </row>
    <row r="118" spans="1:7" ht="19.95" customHeight="1">
      <c r="A118" s="103">
        <v>45819</v>
      </c>
      <c r="B118" s="104" t="s">
        <v>58</v>
      </c>
      <c r="C118" s="104" t="s">
        <v>59</v>
      </c>
      <c r="D118" s="105">
        <v>280</v>
      </c>
      <c r="E118" s="104" t="s">
        <v>443</v>
      </c>
      <c r="F118" s="102" t="s">
        <v>444</v>
      </c>
      <c r="G118" t="s">
        <v>154</v>
      </c>
    </row>
    <row r="119" spans="1:7" ht="19.95" customHeight="1">
      <c r="A119" s="103">
        <v>45822</v>
      </c>
      <c r="B119" s="104" t="s">
        <v>62</v>
      </c>
      <c r="C119" s="104" t="s">
        <v>67</v>
      </c>
      <c r="D119" s="105">
        <v>116</v>
      </c>
      <c r="E119" s="104" t="s">
        <v>445</v>
      </c>
      <c r="F119" s="102" t="s">
        <v>62</v>
      </c>
      <c r="G119" t="s">
        <v>154</v>
      </c>
    </row>
    <row r="120" spans="1:7" ht="19.95" customHeight="1">
      <c r="A120" s="103">
        <v>45827</v>
      </c>
      <c r="B120" s="104" t="s">
        <v>62</v>
      </c>
      <c r="C120" s="104" t="s">
        <v>64</v>
      </c>
      <c r="D120" s="105">
        <v>464</v>
      </c>
      <c r="E120" s="104" t="s">
        <v>446</v>
      </c>
      <c r="F120" s="102" t="s">
        <v>62</v>
      </c>
      <c r="G120" t="s">
        <v>154</v>
      </c>
    </row>
    <row r="121" spans="1:7" ht="19.95" customHeight="1">
      <c r="A121" s="103">
        <v>45808</v>
      </c>
      <c r="B121" s="104" t="s">
        <v>69</v>
      </c>
      <c r="C121" s="104" t="s">
        <v>70</v>
      </c>
      <c r="D121" s="105">
        <v>100</v>
      </c>
      <c r="E121" s="104" t="s">
        <v>447</v>
      </c>
      <c r="F121" s="102" t="s">
        <v>69</v>
      </c>
      <c r="G121" t="s">
        <v>154</v>
      </c>
    </row>
    <row r="122" spans="1:7" ht="19.95" customHeight="1">
      <c r="A122" s="103">
        <v>45824</v>
      </c>
      <c r="B122" s="104" t="s">
        <v>68</v>
      </c>
      <c r="C122" s="104" t="s">
        <v>448</v>
      </c>
      <c r="D122" s="105">
        <v>190</v>
      </c>
      <c r="E122" s="104" t="s">
        <v>449</v>
      </c>
      <c r="F122" s="102" t="s">
        <v>68</v>
      </c>
      <c r="G122" t="s">
        <v>154</v>
      </c>
    </row>
    <row r="123" spans="1:7" ht="19.95" customHeight="1">
      <c r="A123" s="103">
        <v>45832</v>
      </c>
      <c r="B123" s="104" t="s">
        <v>21</v>
      </c>
      <c r="C123" s="104" t="s">
        <v>450</v>
      </c>
      <c r="D123" s="105">
        <v>980</v>
      </c>
      <c r="E123" s="104" t="s">
        <v>451</v>
      </c>
      <c r="F123" s="102" t="s">
        <v>21</v>
      </c>
      <c r="G123" t="s">
        <v>154</v>
      </c>
    </row>
    <row r="124" spans="1:7" ht="19.95" customHeight="1">
      <c r="A124" s="103">
        <v>45847</v>
      </c>
      <c r="B124" s="104" t="s">
        <v>23</v>
      </c>
      <c r="C124" s="104" t="s">
        <v>424</v>
      </c>
      <c r="D124" s="105">
        <v>2425</v>
      </c>
      <c r="E124" s="104" t="s">
        <v>425</v>
      </c>
      <c r="F124" s="102" t="s">
        <v>426</v>
      </c>
      <c r="G124" t="s">
        <v>154</v>
      </c>
    </row>
    <row r="125" spans="1:7" ht="19.95" customHeight="1">
      <c r="A125" s="103">
        <v>45852</v>
      </c>
      <c r="B125" s="104" t="s">
        <v>23</v>
      </c>
      <c r="C125" s="104" t="s">
        <v>28</v>
      </c>
      <c r="D125" s="105">
        <v>727.5</v>
      </c>
      <c r="E125" s="104" t="s">
        <v>427</v>
      </c>
      <c r="F125" s="102" t="s">
        <v>426</v>
      </c>
      <c r="G125" t="s">
        <v>154</v>
      </c>
    </row>
    <row r="126" spans="1:7" ht="19.95" customHeight="1">
      <c r="A126" s="103">
        <v>45857</v>
      </c>
      <c r="B126" s="104" t="s">
        <v>23</v>
      </c>
      <c r="C126" s="104" t="s">
        <v>29</v>
      </c>
      <c r="D126" s="105">
        <v>388</v>
      </c>
      <c r="E126" s="104" t="s">
        <v>428</v>
      </c>
      <c r="F126" s="102" t="s">
        <v>426</v>
      </c>
      <c r="G126" t="s">
        <v>154</v>
      </c>
    </row>
    <row r="127" spans="1:7" ht="19.95" customHeight="1">
      <c r="A127" s="103">
        <v>45862</v>
      </c>
      <c r="B127" s="104" t="s">
        <v>23</v>
      </c>
      <c r="C127" s="104" t="s">
        <v>31</v>
      </c>
      <c r="D127" s="105">
        <v>582</v>
      </c>
      <c r="E127" s="104" t="s">
        <v>429</v>
      </c>
      <c r="F127" s="102" t="s">
        <v>426</v>
      </c>
      <c r="G127" t="s">
        <v>154</v>
      </c>
    </row>
    <row r="128" spans="1:7" ht="19.95" customHeight="1">
      <c r="A128" s="103">
        <v>45865</v>
      </c>
      <c r="B128" s="104" t="s">
        <v>23</v>
      </c>
      <c r="C128" s="104" t="s">
        <v>430</v>
      </c>
      <c r="D128" s="105">
        <v>727.5</v>
      </c>
      <c r="E128" s="104" t="s">
        <v>431</v>
      </c>
      <c r="F128" s="102" t="s">
        <v>426</v>
      </c>
      <c r="G128" t="s">
        <v>154</v>
      </c>
    </row>
    <row r="129" spans="1:7" ht="19.95" customHeight="1">
      <c r="A129" s="103">
        <v>45842</v>
      </c>
      <c r="B129" s="104" t="s">
        <v>37</v>
      </c>
      <c r="C129" s="104" t="s">
        <v>38</v>
      </c>
      <c r="D129" s="105">
        <v>1470</v>
      </c>
      <c r="E129" s="104" t="s">
        <v>432</v>
      </c>
      <c r="F129" s="102" t="s">
        <v>433</v>
      </c>
      <c r="G129" t="s">
        <v>154</v>
      </c>
    </row>
    <row r="130" spans="1:7" ht="19.95" customHeight="1">
      <c r="A130" s="171">
        <v>45855</v>
      </c>
      <c r="B130" s="104" t="s">
        <v>37</v>
      </c>
      <c r="C130" s="104" t="s">
        <v>40</v>
      </c>
      <c r="D130" s="105">
        <v>315</v>
      </c>
      <c r="E130" s="104" t="s">
        <v>40</v>
      </c>
      <c r="F130" s="102" t="s">
        <v>433</v>
      </c>
      <c r="G130" t="s">
        <v>154</v>
      </c>
    </row>
    <row r="131" spans="1:7" ht="19.95" customHeight="1">
      <c r="A131" s="103">
        <v>45859</v>
      </c>
      <c r="B131" s="104" t="s">
        <v>37</v>
      </c>
      <c r="C131" s="104" t="s">
        <v>434</v>
      </c>
      <c r="D131" s="105">
        <v>315</v>
      </c>
      <c r="E131" s="104" t="s">
        <v>232</v>
      </c>
      <c r="F131" s="102" t="s">
        <v>433</v>
      </c>
      <c r="G131" t="s">
        <v>154</v>
      </c>
    </row>
    <row r="132" spans="1:7" ht="19.95" customHeight="1">
      <c r="A132" s="103">
        <v>45845</v>
      </c>
      <c r="B132" s="104" t="s">
        <v>44</v>
      </c>
      <c r="C132" s="104" t="s">
        <v>45</v>
      </c>
      <c r="D132" s="105">
        <v>732</v>
      </c>
      <c r="E132" s="104" t="s">
        <v>435</v>
      </c>
      <c r="F132" s="102" t="s">
        <v>44</v>
      </c>
      <c r="G132" t="s">
        <v>154</v>
      </c>
    </row>
    <row r="133" spans="1:7" ht="19.95" customHeight="1">
      <c r="A133" s="103">
        <v>45852</v>
      </c>
      <c r="B133" s="104" t="s">
        <v>44</v>
      </c>
      <c r="C133" s="104" t="s">
        <v>106</v>
      </c>
      <c r="D133" s="105">
        <v>244</v>
      </c>
      <c r="E133" s="104" t="s">
        <v>106</v>
      </c>
      <c r="F133" s="102" t="s">
        <v>44</v>
      </c>
      <c r="G133" t="s">
        <v>154</v>
      </c>
    </row>
    <row r="134" spans="1:7" ht="19.95" customHeight="1">
      <c r="A134" s="103">
        <v>45862</v>
      </c>
      <c r="B134" s="104" t="s">
        <v>44</v>
      </c>
      <c r="C134" s="104" t="s">
        <v>49</v>
      </c>
      <c r="D134" s="105">
        <v>244</v>
      </c>
      <c r="E134" s="104" t="s">
        <v>436</v>
      </c>
      <c r="F134" s="102" t="s">
        <v>44</v>
      </c>
      <c r="G134" t="s">
        <v>154</v>
      </c>
    </row>
    <row r="135" spans="1:7" ht="19.95" customHeight="1">
      <c r="A135" s="103">
        <v>45847</v>
      </c>
      <c r="B135" s="104" t="s">
        <v>50</v>
      </c>
      <c r="C135" s="104" t="s">
        <v>51</v>
      </c>
      <c r="D135" s="105">
        <v>574</v>
      </c>
      <c r="E135" s="104" t="s">
        <v>437</v>
      </c>
      <c r="F135" s="102" t="s">
        <v>438</v>
      </c>
      <c r="G135" t="s">
        <v>154</v>
      </c>
    </row>
    <row r="136" spans="1:7" ht="19.95" customHeight="1">
      <c r="A136" s="103">
        <v>45857</v>
      </c>
      <c r="B136" s="104" t="s">
        <v>50</v>
      </c>
      <c r="C136" s="104" t="s">
        <v>52</v>
      </c>
      <c r="D136" s="105">
        <v>246</v>
      </c>
      <c r="E136" s="104" t="s">
        <v>439</v>
      </c>
      <c r="F136" s="102" t="s">
        <v>438</v>
      </c>
      <c r="G136" t="s">
        <v>154</v>
      </c>
    </row>
    <row r="137" spans="1:7" ht="19.95" customHeight="1">
      <c r="A137" s="103">
        <v>45842</v>
      </c>
      <c r="B137" s="104" t="s">
        <v>54</v>
      </c>
      <c r="C137" s="104" t="s">
        <v>440</v>
      </c>
      <c r="D137" s="105">
        <v>1500</v>
      </c>
      <c r="E137" s="104" t="s">
        <v>441</v>
      </c>
      <c r="F137" s="102" t="s">
        <v>442</v>
      </c>
      <c r="G137" t="s">
        <v>154</v>
      </c>
    </row>
    <row r="138" spans="1:7" ht="19.95" customHeight="1">
      <c r="A138" s="103">
        <v>45849</v>
      </c>
      <c r="B138" s="104" t="s">
        <v>58</v>
      </c>
      <c r="C138" s="104" t="s">
        <v>59</v>
      </c>
      <c r="D138" s="105">
        <v>320</v>
      </c>
      <c r="E138" s="104" t="s">
        <v>443</v>
      </c>
      <c r="F138" s="102" t="s">
        <v>444</v>
      </c>
      <c r="G138" t="s">
        <v>154</v>
      </c>
    </row>
    <row r="139" spans="1:7" ht="19.95" customHeight="1">
      <c r="A139" s="103">
        <v>45852</v>
      </c>
      <c r="B139" s="104" t="s">
        <v>62</v>
      </c>
      <c r="C139" s="104" t="s">
        <v>67</v>
      </c>
      <c r="D139" s="105">
        <v>124</v>
      </c>
      <c r="E139" s="104" t="s">
        <v>445</v>
      </c>
      <c r="F139" s="102" t="s">
        <v>62</v>
      </c>
      <c r="G139" t="s">
        <v>154</v>
      </c>
    </row>
    <row r="140" spans="1:7" ht="19.95" customHeight="1">
      <c r="A140" s="103">
        <v>45857</v>
      </c>
      <c r="B140" s="104" t="s">
        <v>62</v>
      </c>
      <c r="C140" s="104" t="s">
        <v>64</v>
      </c>
      <c r="D140" s="105">
        <v>496</v>
      </c>
      <c r="E140" s="104" t="s">
        <v>446</v>
      </c>
      <c r="F140" s="102" t="s">
        <v>62</v>
      </c>
      <c r="G140" t="s">
        <v>154</v>
      </c>
    </row>
    <row r="141" spans="1:7" ht="19.95" customHeight="1">
      <c r="A141" s="103">
        <v>45838</v>
      </c>
      <c r="B141" s="104" t="s">
        <v>69</v>
      </c>
      <c r="C141" s="104" t="s">
        <v>70</v>
      </c>
      <c r="D141" s="105">
        <v>100</v>
      </c>
      <c r="E141" s="104" t="s">
        <v>447</v>
      </c>
      <c r="F141" s="102" t="s">
        <v>69</v>
      </c>
      <c r="G141" t="s">
        <v>154</v>
      </c>
    </row>
    <row r="142" spans="1:7" ht="19.95" customHeight="1">
      <c r="A142" s="103">
        <v>45854</v>
      </c>
      <c r="B142" s="104" t="s">
        <v>68</v>
      </c>
      <c r="C142" s="104" t="s">
        <v>448</v>
      </c>
      <c r="D142" s="105">
        <v>210</v>
      </c>
      <c r="E142" s="104" t="s">
        <v>449</v>
      </c>
      <c r="F142" s="102" t="s">
        <v>68</v>
      </c>
      <c r="G142" t="s">
        <v>154</v>
      </c>
    </row>
    <row r="143" spans="1:7" ht="19.95" customHeight="1">
      <c r="A143" s="103">
        <v>45862</v>
      </c>
      <c r="B143" s="104" t="s">
        <v>21</v>
      </c>
      <c r="C143" s="104" t="s">
        <v>450</v>
      </c>
      <c r="D143" s="105">
        <v>1020</v>
      </c>
      <c r="E143" s="104" t="s">
        <v>451</v>
      </c>
      <c r="F143" s="102" t="s">
        <v>21</v>
      </c>
      <c r="G143" t="s">
        <v>154</v>
      </c>
    </row>
    <row r="144" spans="1:7" ht="19.95" customHeight="1">
      <c r="A144" s="103">
        <v>45878</v>
      </c>
      <c r="B144" s="104" t="s">
        <v>23</v>
      </c>
      <c r="C144" s="104" t="s">
        <v>424</v>
      </c>
      <c r="D144" s="105">
        <v>2350</v>
      </c>
      <c r="E144" s="104" t="s">
        <v>425</v>
      </c>
      <c r="F144" s="102" t="s">
        <v>426</v>
      </c>
      <c r="G144" t="s">
        <v>154</v>
      </c>
    </row>
    <row r="145" spans="1:7" ht="19.95" customHeight="1">
      <c r="A145" s="103">
        <v>45883</v>
      </c>
      <c r="B145" s="104" t="s">
        <v>23</v>
      </c>
      <c r="C145" s="104" t="s">
        <v>28</v>
      </c>
      <c r="D145" s="105">
        <v>705</v>
      </c>
      <c r="E145" s="104" t="s">
        <v>427</v>
      </c>
      <c r="F145" s="102" t="s">
        <v>426</v>
      </c>
      <c r="G145" t="s">
        <v>154</v>
      </c>
    </row>
    <row r="146" spans="1:7" ht="19.95" customHeight="1">
      <c r="A146" s="103">
        <v>45888</v>
      </c>
      <c r="B146" s="104" t="s">
        <v>23</v>
      </c>
      <c r="C146" s="104" t="s">
        <v>29</v>
      </c>
      <c r="D146" s="105">
        <v>376</v>
      </c>
      <c r="E146" s="104" t="s">
        <v>428</v>
      </c>
      <c r="F146" s="102" t="s">
        <v>426</v>
      </c>
      <c r="G146" t="s">
        <v>154</v>
      </c>
    </row>
    <row r="147" spans="1:7" ht="19.95" customHeight="1">
      <c r="A147" s="103">
        <v>45893</v>
      </c>
      <c r="B147" s="104" t="s">
        <v>23</v>
      </c>
      <c r="C147" s="104" t="s">
        <v>31</v>
      </c>
      <c r="D147" s="105">
        <v>564</v>
      </c>
      <c r="E147" s="104" t="s">
        <v>429</v>
      </c>
      <c r="F147" s="102" t="s">
        <v>426</v>
      </c>
      <c r="G147" t="s">
        <v>154</v>
      </c>
    </row>
    <row r="148" spans="1:7" ht="19.95" customHeight="1">
      <c r="A148" s="103">
        <v>45896</v>
      </c>
      <c r="B148" s="104" t="s">
        <v>23</v>
      </c>
      <c r="C148" s="104" t="s">
        <v>430</v>
      </c>
      <c r="D148" s="105">
        <v>705</v>
      </c>
      <c r="E148" s="104" t="s">
        <v>431</v>
      </c>
      <c r="F148" s="102" t="s">
        <v>426</v>
      </c>
      <c r="G148" t="s">
        <v>154</v>
      </c>
    </row>
    <row r="149" spans="1:7" ht="19.95" customHeight="1">
      <c r="A149" s="103">
        <v>45873</v>
      </c>
      <c r="B149" s="104" t="s">
        <v>37</v>
      </c>
      <c r="C149" s="104" t="s">
        <v>38</v>
      </c>
      <c r="D149" s="105">
        <v>1330</v>
      </c>
      <c r="E149" s="104" t="s">
        <v>432</v>
      </c>
      <c r="F149" s="102" t="s">
        <v>433</v>
      </c>
      <c r="G149" t="s">
        <v>154</v>
      </c>
    </row>
    <row r="150" spans="1:7" ht="19.95" customHeight="1">
      <c r="A150" s="103">
        <v>45886</v>
      </c>
      <c r="B150" s="104" t="s">
        <v>37</v>
      </c>
      <c r="C150" s="104" t="s">
        <v>40</v>
      </c>
      <c r="D150" s="105">
        <v>285</v>
      </c>
      <c r="E150" s="104" t="s">
        <v>40</v>
      </c>
      <c r="F150" s="102" t="s">
        <v>433</v>
      </c>
      <c r="G150" t="s">
        <v>154</v>
      </c>
    </row>
    <row r="151" spans="1:7" ht="19.95" customHeight="1">
      <c r="A151" s="103">
        <v>45890</v>
      </c>
      <c r="B151" s="104" t="s">
        <v>37</v>
      </c>
      <c r="C151" s="104" t="s">
        <v>434</v>
      </c>
      <c r="D151" s="105">
        <v>285</v>
      </c>
      <c r="E151" s="104" t="s">
        <v>232</v>
      </c>
      <c r="F151" s="102" t="s">
        <v>433</v>
      </c>
      <c r="G151" t="s">
        <v>154</v>
      </c>
    </row>
    <row r="152" spans="1:7" ht="19.95" customHeight="1">
      <c r="A152" s="103">
        <v>45876</v>
      </c>
      <c r="B152" s="104" t="s">
        <v>44</v>
      </c>
      <c r="C152" s="104" t="s">
        <v>45</v>
      </c>
      <c r="D152" s="105">
        <v>690</v>
      </c>
      <c r="E152" s="104" t="s">
        <v>435</v>
      </c>
      <c r="F152" s="102" t="s">
        <v>44</v>
      </c>
      <c r="G152" t="s">
        <v>154</v>
      </c>
    </row>
    <row r="153" spans="1:7" ht="19.95" customHeight="1">
      <c r="A153" s="103">
        <v>45883</v>
      </c>
      <c r="B153" s="104" t="s">
        <v>44</v>
      </c>
      <c r="C153" s="104" t="s">
        <v>106</v>
      </c>
      <c r="D153" s="105">
        <v>230</v>
      </c>
      <c r="E153" s="104" t="s">
        <v>106</v>
      </c>
      <c r="F153" s="102" t="s">
        <v>44</v>
      </c>
      <c r="G153" t="s">
        <v>154</v>
      </c>
    </row>
    <row r="154" spans="1:7" ht="19.95" customHeight="1">
      <c r="A154" s="103">
        <v>45893</v>
      </c>
      <c r="B154" s="104" t="s">
        <v>44</v>
      </c>
      <c r="C154" s="104" t="s">
        <v>49</v>
      </c>
      <c r="D154" s="105">
        <v>230</v>
      </c>
      <c r="E154" s="104" t="s">
        <v>436</v>
      </c>
      <c r="F154" s="102" t="s">
        <v>44</v>
      </c>
      <c r="G154" t="s">
        <v>154</v>
      </c>
    </row>
    <row r="155" spans="1:7" ht="19.95" customHeight="1">
      <c r="A155" s="103">
        <v>45878</v>
      </c>
      <c r="B155" s="104" t="s">
        <v>50</v>
      </c>
      <c r="C155" s="104" t="s">
        <v>51</v>
      </c>
      <c r="D155" s="105">
        <v>525</v>
      </c>
      <c r="E155" s="104" t="s">
        <v>437</v>
      </c>
      <c r="F155" s="102" t="s">
        <v>438</v>
      </c>
      <c r="G155" t="s">
        <v>154</v>
      </c>
    </row>
    <row r="156" spans="1:7" ht="19.95" customHeight="1">
      <c r="A156" s="103">
        <v>45888</v>
      </c>
      <c r="B156" s="104" t="s">
        <v>50</v>
      </c>
      <c r="C156" s="104" t="s">
        <v>52</v>
      </c>
      <c r="D156" s="105">
        <v>225</v>
      </c>
      <c r="E156" s="104" t="s">
        <v>439</v>
      </c>
      <c r="F156" s="102" t="s">
        <v>438</v>
      </c>
      <c r="G156" t="s">
        <v>154</v>
      </c>
    </row>
    <row r="157" spans="1:7" ht="19.95" customHeight="1">
      <c r="A157" s="103">
        <v>45873</v>
      </c>
      <c r="B157" s="104" t="s">
        <v>54</v>
      </c>
      <c r="C157" s="104" t="s">
        <v>440</v>
      </c>
      <c r="D157" s="105">
        <v>1500</v>
      </c>
      <c r="E157" s="104" t="s">
        <v>441</v>
      </c>
      <c r="F157" s="102" t="s">
        <v>442</v>
      </c>
      <c r="G157" t="s">
        <v>154</v>
      </c>
    </row>
    <row r="158" spans="1:7" ht="19.95" customHeight="1">
      <c r="A158" s="103">
        <v>45880</v>
      </c>
      <c r="B158" s="104" t="s">
        <v>58</v>
      </c>
      <c r="C158" s="104" t="s">
        <v>59</v>
      </c>
      <c r="D158" s="105">
        <v>250</v>
      </c>
      <c r="E158" s="104" t="s">
        <v>443</v>
      </c>
      <c r="F158" s="102" t="s">
        <v>444</v>
      </c>
      <c r="G158" t="s">
        <v>154</v>
      </c>
    </row>
    <row r="159" spans="1:7" ht="19.95" customHeight="1">
      <c r="A159" s="103">
        <v>45883</v>
      </c>
      <c r="B159" s="104" t="s">
        <v>62</v>
      </c>
      <c r="C159" s="104" t="s">
        <v>67</v>
      </c>
      <c r="D159" s="105">
        <v>110</v>
      </c>
      <c r="E159" s="104" t="s">
        <v>445</v>
      </c>
      <c r="F159" s="102" t="s">
        <v>62</v>
      </c>
      <c r="G159" t="s">
        <v>154</v>
      </c>
    </row>
    <row r="160" spans="1:7" ht="19.95" customHeight="1">
      <c r="A160" s="103">
        <v>45888</v>
      </c>
      <c r="B160" s="104" t="s">
        <v>62</v>
      </c>
      <c r="C160" s="104" t="s">
        <v>64</v>
      </c>
      <c r="D160" s="105">
        <v>440</v>
      </c>
      <c r="E160" s="104" t="s">
        <v>446</v>
      </c>
      <c r="F160" s="102" t="s">
        <v>62</v>
      </c>
      <c r="G160" t="s">
        <v>154</v>
      </c>
    </row>
    <row r="161" spans="1:7" ht="19.95" customHeight="1">
      <c r="A161" s="103">
        <v>45869</v>
      </c>
      <c r="B161" s="104" t="s">
        <v>69</v>
      </c>
      <c r="C161" s="104" t="s">
        <v>70</v>
      </c>
      <c r="D161" s="105">
        <v>100</v>
      </c>
      <c r="E161" s="104" t="s">
        <v>447</v>
      </c>
      <c r="F161" s="102" t="s">
        <v>69</v>
      </c>
      <c r="G161" t="s">
        <v>154</v>
      </c>
    </row>
    <row r="162" spans="1:7" ht="19.95" customHeight="1">
      <c r="A162" s="103">
        <v>45885</v>
      </c>
      <c r="B162" s="104" t="s">
        <v>68</v>
      </c>
      <c r="C162" s="104" t="s">
        <v>448</v>
      </c>
      <c r="D162" s="105">
        <v>180</v>
      </c>
      <c r="E162" s="104" t="s">
        <v>449</v>
      </c>
      <c r="F162" s="102" t="s">
        <v>68</v>
      </c>
      <c r="G162" t="s">
        <v>154</v>
      </c>
    </row>
    <row r="163" spans="1:7">
      <c r="A163" s="101">
        <v>45893</v>
      </c>
      <c r="B163" s="8" t="s">
        <v>21</v>
      </c>
      <c r="C163" s="8" t="s">
        <v>450</v>
      </c>
      <c r="D163" s="155">
        <v>950</v>
      </c>
      <c r="E163" s="8" t="s">
        <v>451</v>
      </c>
      <c r="F163" s="8" t="s">
        <v>21</v>
      </c>
      <c r="G163" t="s">
        <v>154</v>
      </c>
    </row>
    <row r="164" spans="1:7">
      <c r="A164" s="101">
        <v>45909</v>
      </c>
      <c r="B164" s="8" t="s">
        <v>23</v>
      </c>
      <c r="C164" s="8" t="s">
        <v>424</v>
      </c>
      <c r="D164" s="155">
        <v>2400</v>
      </c>
      <c r="E164" s="8" t="s">
        <v>425</v>
      </c>
      <c r="F164" s="8" t="s">
        <v>426</v>
      </c>
      <c r="G164" t="s">
        <v>154</v>
      </c>
    </row>
    <row r="165" spans="1:7">
      <c r="A165" s="101">
        <v>45914</v>
      </c>
      <c r="B165" s="8" t="s">
        <v>23</v>
      </c>
      <c r="C165" s="8" t="s">
        <v>28</v>
      </c>
      <c r="D165" s="155">
        <v>720</v>
      </c>
      <c r="E165" s="8" t="s">
        <v>427</v>
      </c>
      <c r="F165" s="8" t="s">
        <v>426</v>
      </c>
      <c r="G165" t="s">
        <v>154</v>
      </c>
    </row>
    <row r="166" spans="1:7">
      <c r="A166" s="101">
        <v>45919</v>
      </c>
      <c r="B166" s="8" t="s">
        <v>23</v>
      </c>
      <c r="C166" s="8" t="s">
        <v>29</v>
      </c>
      <c r="D166" s="155">
        <v>384</v>
      </c>
      <c r="E166" s="8" t="s">
        <v>428</v>
      </c>
      <c r="F166" s="8" t="s">
        <v>426</v>
      </c>
      <c r="G166" t="s">
        <v>154</v>
      </c>
    </row>
    <row r="167" spans="1:7">
      <c r="A167" s="101">
        <v>45924</v>
      </c>
      <c r="B167" s="8" t="s">
        <v>23</v>
      </c>
      <c r="C167" s="8" t="s">
        <v>31</v>
      </c>
      <c r="D167" s="155">
        <v>576</v>
      </c>
      <c r="E167" s="8" t="s">
        <v>429</v>
      </c>
      <c r="F167" s="8" t="s">
        <v>426</v>
      </c>
      <c r="G167" t="s">
        <v>154</v>
      </c>
    </row>
    <row r="168" spans="1:7">
      <c r="A168" s="101">
        <v>45927</v>
      </c>
      <c r="B168" s="8" t="s">
        <v>23</v>
      </c>
      <c r="C168" s="8" t="s">
        <v>430</v>
      </c>
      <c r="D168" s="155">
        <v>720</v>
      </c>
      <c r="E168" s="8" t="s">
        <v>431</v>
      </c>
      <c r="F168" s="8" t="s">
        <v>426</v>
      </c>
      <c r="G168" t="s">
        <v>154</v>
      </c>
    </row>
    <row r="169" spans="1:7">
      <c r="A169" s="101">
        <v>45904</v>
      </c>
      <c r="B169" s="8" t="s">
        <v>37</v>
      </c>
      <c r="C169" s="8" t="s">
        <v>38</v>
      </c>
      <c r="D169" s="155">
        <v>1400</v>
      </c>
      <c r="E169" s="8" t="s">
        <v>432</v>
      </c>
      <c r="F169" s="8" t="s">
        <v>433</v>
      </c>
      <c r="G169" t="s">
        <v>154</v>
      </c>
    </row>
    <row r="170" spans="1:7">
      <c r="A170" s="101">
        <v>45917</v>
      </c>
      <c r="B170" s="8" t="s">
        <v>37</v>
      </c>
      <c r="C170" s="8" t="s">
        <v>40</v>
      </c>
      <c r="D170" s="155">
        <v>300</v>
      </c>
      <c r="E170" s="8" t="s">
        <v>40</v>
      </c>
      <c r="F170" s="8" t="s">
        <v>433</v>
      </c>
      <c r="G170" t="s">
        <v>154</v>
      </c>
    </row>
    <row r="171" spans="1:7">
      <c r="A171" s="101">
        <v>45921</v>
      </c>
      <c r="B171" s="8" t="s">
        <v>37</v>
      </c>
      <c r="C171" s="8" t="s">
        <v>434</v>
      </c>
      <c r="D171" s="155">
        <v>300</v>
      </c>
      <c r="E171" s="8" t="s">
        <v>232</v>
      </c>
      <c r="F171" s="8" t="s">
        <v>433</v>
      </c>
      <c r="G171" t="s">
        <v>154</v>
      </c>
    </row>
    <row r="172" spans="1:7">
      <c r="A172" s="101">
        <v>45907</v>
      </c>
      <c r="B172" s="8" t="s">
        <v>44</v>
      </c>
      <c r="C172" s="8" t="s">
        <v>45</v>
      </c>
      <c r="D172" s="155">
        <v>720</v>
      </c>
      <c r="E172" s="8" t="s">
        <v>435</v>
      </c>
      <c r="F172" s="8" t="s">
        <v>44</v>
      </c>
      <c r="G172" t="s">
        <v>154</v>
      </c>
    </row>
    <row r="173" spans="1:7">
      <c r="A173" s="101">
        <v>45914</v>
      </c>
      <c r="B173" s="8" t="s">
        <v>44</v>
      </c>
      <c r="C173" s="8" t="s">
        <v>106</v>
      </c>
      <c r="D173" s="155">
        <v>240</v>
      </c>
      <c r="E173" s="8" t="s">
        <v>106</v>
      </c>
      <c r="F173" s="8" t="s">
        <v>44</v>
      </c>
      <c r="G173" t="s">
        <v>154</v>
      </c>
    </row>
    <row r="174" spans="1:7">
      <c r="A174" s="101">
        <v>45924</v>
      </c>
      <c r="B174" s="8" t="s">
        <v>44</v>
      </c>
      <c r="C174" s="8" t="s">
        <v>49</v>
      </c>
      <c r="D174" s="155">
        <v>240</v>
      </c>
      <c r="E174" s="8" t="s">
        <v>436</v>
      </c>
      <c r="F174" s="8" t="s">
        <v>44</v>
      </c>
      <c r="G174" t="s">
        <v>154</v>
      </c>
    </row>
    <row r="175" spans="1:7">
      <c r="A175" s="101">
        <v>45909</v>
      </c>
      <c r="B175" s="8" t="s">
        <v>50</v>
      </c>
      <c r="C175" s="8" t="s">
        <v>51</v>
      </c>
      <c r="D175" s="155">
        <v>560</v>
      </c>
      <c r="E175" s="8" t="s">
        <v>437</v>
      </c>
      <c r="F175" s="8" t="s">
        <v>438</v>
      </c>
      <c r="G175" t="s">
        <v>154</v>
      </c>
    </row>
    <row r="176" spans="1:7">
      <c r="A176" s="101">
        <v>45919</v>
      </c>
      <c r="B176" s="8" t="s">
        <v>50</v>
      </c>
      <c r="C176" s="8" t="s">
        <v>52</v>
      </c>
      <c r="D176" s="155">
        <v>240</v>
      </c>
      <c r="E176" s="8" t="s">
        <v>439</v>
      </c>
      <c r="F176" s="8" t="s">
        <v>438</v>
      </c>
      <c r="G176" t="s">
        <v>154</v>
      </c>
    </row>
    <row r="177" spans="1:7">
      <c r="A177" s="101">
        <v>45904</v>
      </c>
      <c r="B177" s="8" t="s">
        <v>54</v>
      </c>
      <c r="C177" s="8" t="s">
        <v>440</v>
      </c>
      <c r="D177" s="155">
        <v>1500</v>
      </c>
      <c r="E177" s="8" t="s">
        <v>441</v>
      </c>
      <c r="F177" s="8" t="s">
        <v>442</v>
      </c>
      <c r="G177" t="s">
        <v>154</v>
      </c>
    </row>
    <row r="178" spans="1:7">
      <c r="A178" s="101">
        <v>45911</v>
      </c>
      <c r="B178" s="8" t="s">
        <v>58</v>
      </c>
      <c r="C178" s="8" t="s">
        <v>59</v>
      </c>
      <c r="D178" s="155">
        <v>300</v>
      </c>
      <c r="E178" s="8" t="s">
        <v>443</v>
      </c>
      <c r="F178" s="8" t="s">
        <v>444</v>
      </c>
      <c r="G178" t="s">
        <v>154</v>
      </c>
    </row>
    <row r="179" spans="1:7">
      <c r="A179" s="101">
        <v>45914</v>
      </c>
      <c r="B179" s="8" t="s">
        <v>62</v>
      </c>
      <c r="C179" s="8" t="s">
        <v>67</v>
      </c>
      <c r="D179" s="155">
        <v>120</v>
      </c>
      <c r="E179" s="8" t="s">
        <v>445</v>
      </c>
      <c r="F179" s="8" t="s">
        <v>62</v>
      </c>
      <c r="G179" t="s">
        <v>154</v>
      </c>
    </row>
    <row r="180" spans="1:7">
      <c r="A180" s="101">
        <v>45919</v>
      </c>
      <c r="B180" s="8" t="s">
        <v>62</v>
      </c>
      <c r="C180" s="8" t="s">
        <v>64</v>
      </c>
      <c r="D180" s="155">
        <v>480</v>
      </c>
      <c r="E180" s="8" t="s">
        <v>446</v>
      </c>
      <c r="F180" s="8" t="s">
        <v>62</v>
      </c>
      <c r="G180" t="s">
        <v>154</v>
      </c>
    </row>
    <row r="181" spans="1:7">
      <c r="A181" s="101">
        <v>45900</v>
      </c>
      <c r="B181" s="8" t="s">
        <v>69</v>
      </c>
      <c r="C181" s="8" t="s">
        <v>70</v>
      </c>
      <c r="D181" s="155">
        <v>100</v>
      </c>
      <c r="E181" s="8" t="s">
        <v>447</v>
      </c>
      <c r="F181" s="8" t="s">
        <v>69</v>
      </c>
      <c r="G181" t="s">
        <v>154</v>
      </c>
    </row>
    <row r="182" spans="1:7">
      <c r="A182" s="101">
        <v>45916</v>
      </c>
      <c r="B182" s="8" t="s">
        <v>68</v>
      </c>
      <c r="C182" s="8" t="s">
        <v>448</v>
      </c>
      <c r="D182" s="155">
        <v>200</v>
      </c>
      <c r="E182" s="8" t="s">
        <v>449</v>
      </c>
      <c r="F182" s="8" t="s">
        <v>68</v>
      </c>
      <c r="G182" t="s">
        <v>154</v>
      </c>
    </row>
    <row r="183" spans="1:7">
      <c r="A183" s="101">
        <v>45924</v>
      </c>
      <c r="B183" s="8" t="s">
        <v>21</v>
      </c>
      <c r="C183" s="8" t="s">
        <v>450</v>
      </c>
      <c r="D183" s="155">
        <v>1000</v>
      </c>
      <c r="E183" s="8" t="s">
        <v>451</v>
      </c>
      <c r="F183" s="8" t="s">
        <v>21</v>
      </c>
      <c r="G183" t="s">
        <v>154</v>
      </c>
    </row>
    <row r="184" spans="1:7">
      <c r="A184" s="101">
        <v>45939</v>
      </c>
      <c r="B184" s="8" t="s">
        <v>23</v>
      </c>
      <c r="C184" s="8" t="s">
        <v>424</v>
      </c>
      <c r="D184" s="155">
        <v>2450</v>
      </c>
      <c r="E184" s="8" t="s">
        <v>425</v>
      </c>
      <c r="F184" s="8" t="s">
        <v>426</v>
      </c>
      <c r="G184" t="s">
        <v>154</v>
      </c>
    </row>
    <row r="185" spans="1:7">
      <c r="A185" s="101">
        <v>45944</v>
      </c>
      <c r="B185" s="8" t="s">
        <v>23</v>
      </c>
      <c r="C185" s="8" t="s">
        <v>28</v>
      </c>
      <c r="D185" s="155">
        <v>735</v>
      </c>
      <c r="E185" s="8" t="s">
        <v>427</v>
      </c>
      <c r="F185" s="8" t="s">
        <v>426</v>
      </c>
      <c r="G185" t="s">
        <v>154</v>
      </c>
    </row>
    <row r="186" spans="1:7">
      <c r="A186" s="101">
        <v>45949</v>
      </c>
      <c r="B186" s="8" t="s">
        <v>23</v>
      </c>
      <c r="C186" s="8" t="s">
        <v>29</v>
      </c>
      <c r="D186" s="155">
        <v>392</v>
      </c>
      <c r="E186" s="8" t="s">
        <v>428</v>
      </c>
      <c r="F186" s="8" t="s">
        <v>426</v>
      </c>
      <c r="G186" t="s">
        <v>154</v>
      </c>
    </row>
    <row r="187" spans="1:7">
      <c r="A187" s="101">
        <v>45954</v>
      </c>
      <c r="B187" s="8" t="s">
        <v>23</v>
      </c>
      <c r="C187" s="8" t="s">
        <v>31</v>
      </c>
      <c r="D187" s="155">
        <v>588</v>
      </c>
      <c r="E187" s="8" t="s">
        <v>429</v>
      </c>
      <c r="F187" s="8" t="s">
        <v>426</v>
      </c>
      <c r="G187" t="s">
        <v>154</v>
      </c>
    </row>
    <row r="188" spans="1:7">
      <c r="A188" s="101">
        <v>45957</v>
      </c>
      <c r="B188" s="8" t="s">
        <v>23</v>
      </c>
      <c r="C188" s="8" t="s">
        <v>430</v>
      </c>
      <c r="D188" s="155">
        <v>735</v>
      </c>
      <c r="E188" s="8" t="s">
        <v>431</v>
      </c>
      <c r="F188" s="8" t="s">
        <v>426</v>
      </c>
      <c r="G188" t="s">
        <v>154</v>
      </c>
    </row>
    <row r="189" spans="1:7">
      <c r="A189" s="101">
        <v>45934</v>
      </c>
      <c r="B189" s="8" t="s">
        <v>37</v>
      </c>
      <c r="C189" s="8" t="s">
        <v>38</v>
      </c>
      <c r="D189" s="155">
        <v>1435</v>
      </c>
      <c r="E189" s="8" t="s">
        <v>432</v>
      </c>
      <c r="F189" s="8" t="s">
        <v>433</v>
      </c>
      <c r="G189" t="s">
        <v>154</v>
      </c>
    </row>
    <row r="190" spans="1:7">
      <c r="A190" s="101">
        <v>45947</v>
      </c>
      <c r="B190" s="8" t="s">
        <v>37</v>
      </c>
      <c r="C190" s="8" t="s">
        <v>40</v>
      </c>
      <c r="D190" s="155">
        <v>307.5</v>
      </c>
      <c r="E190" s="8" t="s">
        <v>40</v>
      </c>
      <c r="F190" s="8" t="s">
        <v>433</v>
      </c>
      <c r="G190" t="s">
        <v>154</v>
      </c>
    </row>
    <row r="191" spans="1:7">
      <c r="A191" s="101">
        <v>45951</v>
      </c>
      <c r="B191" s="8" t="s">
        <v>37</v>
      </c>
      <c r="C191" s="8" t="s">
        <v>434</v>
      </c>
      <c r="D191" s="155">
        <v>307.5</v>
      </c>
      <c r="E191" s="8" t="s">
        <v>232</v>
      </c>
      <c r="F191" s="8" t="s">
        <v>433</v>
      </c>
      <c r="G191" t="s">
        <v>154</v>
      </c>
    </row>
    <row r="192" spans="1:7">
      <c r="A192" s="101">
        <v>45937</v>
      </c>
      <c r="B192" s="8" t="s">
        <v>44</v>
      </c>
      <c r="C192" s="8" t="s">
        <v>45</v>
      </c>
      <c r="D192" s="155">
        <v>750</v>
      </c>
      <c r="E192" s="8" t="s">
        <v>435</v>
      </c>
      <c r="F192" s="8" t="s">
        <v>44</v>
      </c>
      <c r="G192" t="s">
        <v>154</v>
      </c>
    </row>
    <row r="193" spans="1:7">
      <c r="A193" s="101">
        <v>45944</v>
      </c>
      <c r="B193" s="8" t="s">
        <v>44</v>
      </c>
      <c r="C193" s="8" t="s">
        <v>106</v>
      </c>
      <c r="D193" s="155">
        <v>250</v>
      </c>
      <c r="E193" s="8" t="s">
        <v>106</v>
      </c>
      <c r="F193" s="8" t="s">
        <v>44</v>
      </c>
      <c r="G193" t="s">
        <v>154</v>
      </c>
    </row>
    <row r="194" spans="1:7">
      <c r="A194" s="101">
        <v>45954</v>
      </c>
      <c r="B194" s="8" t="s">
        <v>44</v>
      </c>
      <c r="C194" s="8" t="s">
        <v>49</v>
      </c>
      <c r="D194" s="155">
        <v>250</v>
      </c>
      <c r="E194" s="8" t="s">
        <v>436</v>
      </c>
      <c r="F194" s="8" t="s">
        <v>44</v>
      </c>
      <c r="G194" t="s">
        <v>154</v>
      </c>
    </row>
    <row r="195" spans="1:7">
      <c r="A195" s="101">
        <v>45939</v>
      </c>
      <c r="B195" s="8" t="s">
        <v>50</v>
      </c>
      <c r="C195" s="8" t="s">
        <v>51</v>
      </c>
      <c r="D195" s="155">
        <v>595</v>
      </c>
      <c r="E195" s="8" t="s">
        <v>437</v>
      </c>
      <c r="F195" s="8" t="s">
        <v>438</v>
      </c>
      <c r="G195" t="s">
        <v>154</v>
      </c>
    </row>
    <row r="196" spans="1:7">
      <c r="A196" s="101">
        <v>45949</v>
      </c>
      <c r="B196" s="8" t="s">
        <v>50</v>
      </c>
      <c r="C196" s="8" t="s">
        <v>52</v>
      </c>
      <c r="D196" s="155">
        <v>255</v>
      </c>
      <c r="E196" s="8" t="s">
        <v>439</v>
      </c>
      <c r="F196" s="8" t="s">
        <v>438</v>
      </c>
      <c r="G196" t="s">
        <v>154</v>
      </c>
    </row>
    <row r="197" spans="1:7">
      <c r="A197" s="101">
        <v>45934</v>
      </c>
      <c r="B197" s="8" t="s">
        <v>54</v>
      </c>
      <c r="C197" s="8" t="s">
        <v>440</v>
      </c>
      <c r="D197" s="155">
        <v>1500</v>
      </c>
      <c r="E197" s="8" t="s">
        <v>441</v>
      </c>
      <c r="F197" s="8" t="s">
        <v>442</v>
      </c>
      <c r="G197" t="s">
        <v>154</v>
      </c>
    </row>
    <row r="198" spans="1:7">
      <c r="A198" s="101">
        <v>45941</v>
      </c>
      <c r="B198" s="8" t="s">
        <v>58</v>
      </c>
      <c r="C198" s="8" t="s">
        <v>59</v>
      </c>
      <c r="D198" s="155">
        <v>350</v>
      </c>
      <c r="E198" s="8" t="s">
        <v>443</v>
      </c>
      <c r="F198" s="8" t="s">
        <v>444</v>
      </c>
      <c r="G198" t="s">
        <v>154</v>
      </c>
    </row>
    <row r="199" spans="1:7">
      <c r="A199" s="101">
        <v>45944</v>
      </c>
      <c r="B199" s="8" t="s">
        <v>62</v>
      </c>
      <c r="C199" s="8" t="s">
        <v>67</v>
      </c>
      <c r="D199" s="155">
        <v>130</v>
      </c>
      <c r="E199" s="8" t="s">
        <v>445</v>
      </c>
      <c r="F199" s="8" t="s">
        <v>62</v>
      </c>
      <c r="G199" t="s">
        <v>154</v>
      </c>
    </row>
    <row r="200" spans="1:7">
      <c r="A200" s="101">
        <v>45949</v>
      </c>
      <c r="B200" s="8" t="s">
        <v>62</v>
      </c>
      <c r="C200" s="8" t="s">
        <v>64</v>
      </c>
      <c r="D200" s="155">
        <v>520</v>
      </c>
      <c r="E200" s="8" t="s">
        <v>446</v>
      </c>
      <c r="F200" s="8" t="s">
        <v>62</v>
      </c>
      <c r="G200" t="s">
        <v>154</v>
      </c>
    </row>
    <row r="201" spans="1:7">
      <c r="A201" s="101">
        <v>45930</v>
      </c>
      <c r="B201" s="8" t="s">
        <v>69</v>
      </c>
      <c r="C201" s="8" t="s">
        <v>70</v>
      </c>
      <c r="D201" s="155">
        <v>100</v>
      </c>
      <c r="E201" s="8" t="s">
        <v>447</v>
      </c>
      <c r="F201" s="8" t="s">
        <v>69</v>
      </c>
      <c r="G201" t="s">
        <v>154</v>
      </c>
    </row>
    <row r="202" spans="1:7">
      <c r="A202" s="101">
        <v>45946</v>
      </c>
      <c r="B202" s="8" t="s">
        <v>68</v>
      </c>
      <c r="C202" s="8" t="s">
        <v>448</v>
      </c>
      <c r="D202" s="155">
        <v>220</v>
      </c>
      <c r="E202" s="8" t="s">
        <v>449</v>
      </c>
      <c r="F202" s="8" t="s">
        <v>68</v>
      </c>
      <c r="G202" t="s">
        <v>154</v>
      </c>
    </row>
    <row r="203" spans="1:7">
      <c r="A203" s="5">
        <v>45954</v>
      </c>
      <c r="B203" t="s">
        <v>21</v>
      </c>
      <c r="C203" t="s">
        <v>450</v>
      </c>
      <c r="D203" s="7">
        <v>1050</v>
      </c>
      <c r="E203" t="s">
        <v>451</v>
      </c>
      <c r="F203" t="s">
        <v>21</v>
      </c>
      <c r="G203" t="s">
        <v>154</v>
      </c>
    </row>
    <row r="204" spans="1:7">
      <c r="A204" s="5">
        <v>45970</v>
      </c>
      <c r="B204" t="s">
        <v>23</v>
      </c>
      <c r="C204" t="s">
        <v>424</v>
      </c>
      <c r="D204" s="7">
        <v>2375</v>
      </c>
      <c r="E204" t="s">
        <v>425</v>
      </c>
      <c r="F204" t="s">
        <v>426</v>
      </c>
      <c r="G204" t="s">
        <v>154</v>
      </c>
    </row>
    <row r="205" spans="1:7">
      <c r="A205" s="5">
        <v>45975</v>
      </c>
      <c r="B205" t="s">
        <v>23</v>
      </c>
      <c r="C205" t="s">
        <v>28</v>
      </c>
      <c r="D205" s="7">
        <v>712.5</v>
      </c>
      <c r="E205" t="s">
        <v>427</v>
      </c>
      <c r="F205" t="s">
        <v>426</v>
      </c>
      <c r="G205" t="s">
        <v>154</v>
      </c>
    </row>
    <row r="206" spans="1:7">
      <c r="A206" s="5">
        <v>45980</v>
      </c>
      <c r="B206" t="s">
        <v>23</v>
      </c>
      <c r="C206" t="s">
        <v>29</v>
      </c>
      <c r="D206" s="7">
        <v>380</v>
      </c>
      <c r="E206" t="s">
        <v>428</v>
      </c>
      <c r="F206" t="s">
        <v>426</v>
      </c>
      <c r="G206" t="s">
        <v>154</v>
      </c>
    </row>
    <row r="207" spans="1:7">
      <c r="A207" s="5">
        <v>45985</v>
      </c>
      <c r="B207" t="s">
        <v>23</v>
      </c>
      <c r="C207" t="s">
        <v>31</v>
      </c>
      <c r="D207" s="7">
        <v>570</v>
      </c>
      <c r="E207" t="s">
        <v>429</v>
      </c>
      <c r="F207" t="s">
        <v>426</v>
      </c>
      <c r="G207" t="s">
        <v>154</v>
      </c>
    </row>
    <row r="208" spans="1:7">
      <c r="A208" s="5">
        <v>45988</v>
      </c>
      <c r="B208" t="s">
        <v>23</v>
      </c>
      <c r="C208" t="s">
        <v>430</v>
      </c>
      <c r="D208" s="7">
        <v>712.5</v>
      </c>
      <c r="E208" t="s">
        <v>431</v>
      </c>
      <c r="F208" t="s">
        <v>426</v>
      </c>
      <c r="G208" t="s">
        <v>154</v>
      </c>
    </row>
    <row r="209" spans="1:7">
      <c r="A209" s="5">
        <v>45965</v>
      </c>
      <c r="B209" t="s">
        <v>37</v>
      </c>
      <c r="C209" t="s">
        <v>38</v>
      </c>
      <c r="D209" s="7">
        <v>1470</v>
      </c>
      <c r="E209" t="s">
        <v>432</v>
      </c>
      <c r="F209" t="s">
        <v>433</v>
      </c>
      <c r="G209" t="s">
        <v>154</v>
      </c>
    </row>
    <row r="210" spans="1:7">
      <c r="A210" s="5">
        <v>45978</v>
      </c>
      <c r="B210" t="s">
        <v>37</v>
      </c>
      <c r="C210" t="s">
        <v>40</v>
      </c>
      <c r="D210" s="7">
        <v>315</v>
      </c>
      <c r="E210" t="s">
        <v>40</v>
      </c>
      <c r="F210" t="s">
        <v>433</v>
      </c>
      <c r="G210" t="s">
        <v>154</v>
      </c>
    </row>
    <row r="211" spans="1:7">
      <c r="A211" s="5">
        <v>45982</v>
      </c>
      <c r="B211" t="s">
        <v>37</v>
      </c>
      <c r="C211" t="s">
        <v>434</v>
      </c>
      <c r="D211" s="7">
        <v>315</v>
      </c>
      <c r="E211" t="s">
        <v>232</v>
      </c>
      <c r="F211" t="s">
        <v>433</v>
      </c>
      <c r="G211" t="s">
        <v>154</v>
      </c>
    </row>
    <row r="212" spans="1:7">
      <c r="A212" s="5">
        <v>45968</v>
      </c>
      <c r="B212" t="s">
        <v>44</v>
      </c>
      <c r="C212" t="s">
        <v>45</v>
      </c>
      <c r="D212" s="7">
        <v>720</v>
      </c>
      <c r="E212" t="s">
        <v>435</v>
      </c>
      <c r="F212" t="s">
        <v>44</v>
      </c>
      <c r="G212" t="s">
        <v>154</v>
      </c>
    </row>
    <row r="213" spans="1:7">
      <c r="A213" s="5">
        <v>45975</v>
      </c>
      <c r="B213" t="s">
        <v>44</v>
      </c>
      <c r="C213" t="s">
        <v>106</v>
      </c>
      <c r="D213" s="7">
        <v>240</v>
      </c>
      <c r="E213" t="s">
        <v>106</v>
      </c>
      <c r="F213" t="s">
        <v>44</v>
      </c>
      <c r="G213" t="s">
        <v>154</v>
      </c>
    </row>
    <row r="214" spans="1:7">
      <c r="A214" s="5">
        <v>45985</v>
      </c>
      <c r="B214" t="s">
        <v>44</v>
      </c>
      <c r="C214" t="s">
        <v>49</v>
      </c>
      <c r="D214" s="7">
        <v>240</v>
      </c>
      <c r="E214" t="s">
        <v>436</v>
      </c>
      <c r="F214" t="s">
        <v>44</v>
      </c>
      <c r="G214" t="s">
        <v>154</v>
      </c>
    </row>
    <row r="215" spans="1:7">
      <c r="A215" s="5">
        <v>45970</v>
      </c>
      <c r="B215" t="s">
        <v>50</v>
      </c>
      <c r="C215" t="s">
        <v>51</v>
      </c>
      <c r="D215" s="7">
        <v>560</v>
      </c>
      <c r="E215" t="s">
        <v>437</v>
      </c>
      <c r="F215" t="s">
        <v>438</v>
      </c>
      <c r="G215" t="s">
        <v>154</v>
      </c>
    </row>
    <row r="216" spans="1:7">
      <c r="A216" s="5">
        <v>45980</v>
      </c>
      <c r="B216" t="s">
        <v>50</v>
      </c>
      <c r="C216" t="s">
        <v>52</v>
      </c>
      <c r="D216" s="7">
        <v>240</v>
      </c>
      <c r="E216" t="s">
        <v>439</v>
      </c>
      <c r="F216" t="s">
        <v>438</v>
      </c>
      <c r="G216" t="s">
        <v>154</v>
      </c>
    </row>
    <row r="217" spans="1:7">
      <c r="A217" s="5">
        <v>45965</v>
      </c>
      <c r="B217" t="s">
        <v>54</v>
      </c>
      <c r="C217" t="s">
        <v>440</v>
      </c>
      <c r="D217" s="7">
        <v>1500</v>
      </c>
      <c r="E217" t="s">
        <v>441</v>
      </c>
      <c r="F217" t="s">
        <v>442</v>
      </c>
      <c r="G217" t="s">
        <v>154</v>
      </c>
    </row>
    <row r="218" spans="1:7">
      <c r="A218" s="5">
        <v>45972</v>
      </c>
      <c r="B218" t="s">
        <v>58</v>
      </c>
      <c r="C218" t="s">
        <v>59</v>
      </c>
      <c r="D218" s="7">
        <v>400</v>
      </c>
      <c r="E218" t="s">
        <v>443</v>
      </c>
      <c r="F218" t="s">
        <v>444</v>
      </c>
      <c r="G218" t="s">
        <v>154</v>
      </c>
    </row>
    <row r="219" spans="1:7">
      <c r="A219" s="5">
        <v>45975</v>
      </c>
      <c r="B219" t="s">
        <v>62</v>
      </c>
      <c r="C219" t="s">
        <v>67</v>
      </c>
      <c r="D219" s="7">
        <v>140</v>
      </c>
      <c r="E219" t="s">
        <v>445</v>
      </c>
      <c r="F219" t="s">
        <v>62</v>
      </c>
      <c r="G219" t="s">
        <v>154</v>
      </c>
    </row>
    <row r="220" spans="1:7">
      <c r="A220" s="5">
        <v>45980</v>
      </c>
      <c r="B220" t="s">
        <v>62</v>
      </c>
      <c r="C220" t="s">
        <v>64</v>
      </c>
      <c r="D220" s="7">
        <v>560</v>
      </c>
      <c r="E220" t="s">
        <v>446</v>
      </c>
      <c r="F220" t="s">
        <v>62</v>
      </c>
      <c r="G220" t="s">
        <v>154</v>
      </c>
    </row>
    <row r="221" spans="1:7">
      <c r="A221" s="5">
        <v>45961</v>
      </c>
      <c r="B221" t="s">
        <v>69</v>
      </c>
      <c r="C221" t="s">
        <v>70</v>
      </c>
      <c r="D221" s="7">
        <v>100</v>
      </c>
      <c r="E221" t="s">
        <v>447</v>
      </c>
      <c r="F221" t="s">
        <v>69</v>
      </c>
      <c r="G221" t="s">
        <v>154</v>
      </c>
    </row>
    <row r="222" spans="1:7">
      <c r="A222" s="5">
        <v>45977</v>
      </c>
      <c r="B222" t="s">
        <v>68</v>
      </c>
      <c r="C222" t="s">
        <v>448</v>
      </c>
      <c r="D222" s="7">
        <v>200</v>
      </c>
      <c r="E222" t="s">
        <v>449</v>
      </c>
      <c r="F222" t="s">
        <v>68</v>
      </c>
      <c r="G222" t="s">
        <v>154</v>
      </c>
    </row>
    <row r="223" spans="1:7">
      <c r="A223" s="5">
        <v>45985</v>
      </c>
      <c r="B223" t="s">
        <v>21</v>
      </c>
      <c r="C223" t="s">
        <v>450</v>
      </c>
      <c r="D223" s="7">
        <v>1100</v>
      </c>
      <c r="E223" t="s">
        <v>451</v>
      </c>
      <c r="F223" t="s">
        <v>21</v>
      </c>
      <c r="G223" t="s">
        <v>154</v>
      </c>
    </row>
    <row r="224" spans="1:7">
      <c r="A224" s="5">
        <v>46000</v>
      </c>
      <c r="B224" t="s">
        <v>23</v>
      </c>
      <c r="C224" t="s">
        <v>424</v>
      </c>
      <c r="D224" s="7">
        <v>2500</v>
      </c>
      <c r="E224" t="s">
        <v>425</v>
      </c>
      <c r="F224" t="s">
        <v>426</v>
      </c>
      <c r="G224" t="s">
        <v>154</v>
      </c>
    </row>
    <row r="225" spans="1:7">
      <c r="A225" s="5">
        <v>46005</v>
      </c>
      <c r="B225" t="s">
        <v>23</v>
      </c>
      <c r="C225" t="s">
        <v>28</v>
      </c>
      <c r="D225" s="7">
        <v>750</v>
      </c>
      <c r="E225" t="s">
        <v>427</v>
      </c>
      <c r="F225" t="s">
        <v>426</v>
      </c>
      <c r="G225" t="s">
        <v>154</v>
      </c>
    </row>
    <row r="226" spans="1:7">
      <c r="A226" s="5">
        <v>46010</v>
      </c>
      <c r="B226" t="s">
        <v>23</v>
      </c>
      <c r="C226" t="s">
        <v>29</v>
      </c>
      <c r="D226" s="7">
        <v>400</v>
      </c>
      <c r="E226" t="s">
        <v>428</v>
      </c>
      <c r="F226" t="s">
        <v>426</v>
      </c>
      <c r="G226" t="s">
        <v>154</v>
      </c>
    </row>
    <row r="227" spans="1:7">
      <c r="A227" s="5">
        <v>46015</v>
      </c>
      <c r="B227" t="s">
        <v>23</v>
      </c>
      <c r="C227" t="s">
        <v>31</v>
      </c>
      <c r="D227" s="7">
        <v>600</v>
      </c>
      <c r="E227" t="s">
        <v>429</v>
      </c>
      <c r="F227" t="s">
        <v>426</v>
      </c>
      <c r="G227" t="s">
        <v>154</v>
      </c>
    </row>
    <row r="228" spans="1:7">
      <c r="A228" s="5">
        <v>46018</v>
      </c>
      <c r="B228" t="s">
        <v>23</v>
      </c>
      <c r="C228" t="s">
        <v>430</v>
      </c>
      <c r="D228" s="7">
        <v>750</v>
      </c>
      <c r="E228" t="s">
        <v>431</v>
      </c>
      <c r="F228" t="s">
        <v>426</v>
      </c>
      <c r="G228" t="s">
        <v>154</v>
      </c>
    </row>
    <row r="229" spans="1:7">
      <c r="A229" s="5">
        <v>45995</v>
      </c>
      <c r="B229" t="s">
        <v>37</v>
      </c>
      <c r="C229" t="s">
        <v>38</v>
      </c>
      <c r="D229" s="7">
        <v>1540</v>
      </c>
      <c r="E229" t="s">
        <v>432</v>
      </c>
      <c r="F229" t="s">
        <v>433</v>
      </c>
      <c r="G229" t="s">
        <v>154</v>
      </c>
    </row>
    <row r="230" spans="1:7">
      <c r="A230" s="5">
        <v>46008</v>
      </c>
      <c r="B230" t="s">
        <v>37</v>
      </c>
      <c r="C230" t="s">
        <v>40</v>
      </c>
      <c r="D230" s="7">
        <v>330</v>
      </c>
      <c r="E230" t="s">
        <v>40</v>
      </c>
      <c r="F230" t="s">
        <v>433</v>
      </c>
      <c r="G230" t="s">
        <v>154</v>
      </c>
    </row>
    <row r="231" spans="1:7">
      <c r="A231" s="5">
        <v>46012</v>
      </c>
      <c r="B231" t="s">
        <v>37</v>
      </c>
      <c r="C231" t="s">
        <v>434</v>
      </c>
      <c r="D231" s="7">
        <v>330</v>
      </c>
      <c r="E231" t="s">
        <v>232</v>
      </c>
      <c r="F231" t="s">
        <v>433</v>
      </c>
      <c r="G231" t="s">
        <v>154</v>
      </c>
    </row>
    <row r="232" spans="1:7">
      <c r="A232" s="5">
        <v>45998</v>
      </c>
      <c r="B232" t="s">
        <v>44</v>
      </c>
      <c r="C232" t="s">
        <v>45</v>
      </c>
      <c r="D232" s="7">
        <v>780</v>
      </c>
      <c r="E232" t="s">
        <v>435</v>
      </c>
      <c r="F232" t="s">
        <v>44</v>
      </c>
      <c r="G232" t="s">
        <v>154</v>
      </c>
    </row>
    <row r="233" spans="1:7">
      <c r="A233" s="5">
        <v>46005</v>
      </c>
      <c r="B233" t="s">
        <v>44</v>
      </c>
      <c r="C233" t="s">
        <v>106</v>
      </c>
      <c r="D233" s="7">
        <v>260</v>
      </c>
      <c r="E233" t="s">
        <v>106</v>
      </c>
      <c r="F233" t="s">
        <v>44</v>
      </c>
      <c r="G233" t="s">
        <v>154</v>
      </c>
    </row>
    <row r="234" spans="1:7">
      <c r="A234" s="5">
        <v>46015</v>
      </c>
      <c r="B234" t="s">
        <v>44</v>
      </c>
      <c r="C234" t="s">
        <v>49</v>
      </c>
      <c r="D234" s="7">
        <v>260</v>
      </c>
      <c r="E234" t="s">
        <v>436</v>
      </c>
      <c r="F234" t="s">
        <v>44</v>
      </c>
      <c r="G234" t="s">
        <v>154</v>
      </c>
    </row>
    <row r="235" spans="1:7">
      <c r="A235" s="5">
        <v>46000</v>
      </c>
      <c r="B235" t="s">
        <v>50</v>
      </c>
      <c r="C235" t="s">
        <v>51</v>
      </c>
      <c r="D235" s="7">
        <v>630</v>
      </c>
      <c r="E235" t="s">
        <v>437</v>
      </c>
      <c r="F235" t="s">
        <v>438</v>
      </c>
      <c r="G235" t="s">
        <v>154</v>
      </c>
    </row>
    <row r="236" spans="1:7">
      <c r="A236" s="5">
        <v>46010</v>
      </c>
      <c r="B236" t="s">
        <v>50</v>
      </c>
      <c r="C236" t="s">
        <v>52</v>
      </c>
      <c r="D236" s="7">
        <v>270</v>
      </c>
      <c r="E236" t="s">
        <v>439</v>
      </c>
      <c r="F236" t="s">
        <v>438</v>
      </c>
      <c r="G236" t="s">
        <v>154</v>
      </c>
    </row>
    <row r="237" spans="1:7">
      <c r="A237" s="5">
        <v>45995</v>
      </c>
      <c r="B237" t="s">
        <v>54</v>
      </c>
      <c r="C237" t="s">
        <v>440</v>
      </c>
      <c r="D237" s="7">
        <v>1500</v>
      </c>
      <c r="E237" t="s">
        <v>441</v>
      </c>
      <c r="F237" t="s">
        <v>442</v>
      </c>
      <c r="G237" t="s">
        <v>154</v>
      </c>
    </row>
    <row r="238" spans="1:7">
      <c r="A238" s="5">
        <v>46002</v>
      </c>
      <c r="B238" t="s">
        <v>58</v>
      </c>
      <c r="C238" t="s">
        <v>59</v>
      </c>
      <c r="D238" s="7">
        <v>500</v>
      </c>
      <c r="E238" t="s">
        <v>443</v>
      </c>
      <c r="F238" t="s">
        <v>444</v>
      </c>
      <c r="G238" t="s">
        <v>154</v>
      </c>
    </row>
    <row r="239" spans="1:7">
      <c r="A239" s="5">
        <v>46005</v>
      </c>
      <c r="B239" t="s">
        <v>62</v>
      </c>
      <c r="C239" t="s">
        <v>67</v>
      </c>
      <c r="D239" s="7">
        <v>160</v>
      </c>
      <c r="E239" t="s">
        <v>445</v>
      </c>
      <c r="F239" t="s">
        <v>62</v>
      </c>
      <c r="G239" t="s">
        <v>154</v>
      </c>
    </row>
    <row r="240" spans="1:7">
      <c r="A240" s="5">
        <v>46010</v>
      </c>
      <c r="B240" t="s">
        <v>62</v>
      </c>
      <c r="C240" t="s">
        <v>64</v>
      </c>
      <c r="D240" s="7">
        <v>640</v>
      </c>
      <c r="E240" t="s">
        <v>446</v>
      </c>
      <c r="F240" t="s">
        <v>62</v>
      </c>
      <c r="G240" t="s">
        <v>154</v>
      </c>
    </row>
    <row r="241" spans="1:7">
      <c r="A241" s="5">
        <v>45991</v>
      </c>
      <c r="B241" t="s">
        <v>69</v>
      </c>
      <c r="C241" t="s">
        <v>70</v>
      </c>
      <c r="D241" s="7">
        <v>150</v>
      </c>
      <c r="E241" t="s">
        <v>447</v>
      </c>
      <c r="F241" t="s">
        <v>69</v>
      </c>
      <c r="G241" t="s">
        <v>154</v>
      </c>
    </row>
    <row r="242" spans="1:7">
      <c r="A242" s="5">
        <v>46007</v>
      </c>
      <c r="B242" t="s">
        <v>68</v>
      </c>
      <c r="C242" t="s">
        <v>448</v>
      </c>
      <c r="D242" s="7">
        <v>250</v>
      </c>
      <c r="E242" t="s">
        <v>449</v>
      </c>
      <c r="F242" t="s">
        <v>68</v>
      </c>
      <c r="G242" t="s">
        <v>154</v>
      </c>
    </row>
    <row r="243" spans="1:7">
      <c r="A243" s="5">
        <v>46015</v>
      </c>
      <c r="B243" t="s">
        <v>21</v>
      </c>
      <c r="C243" t="s">
        <v>450</v>
      </c>
      <c r="D243" s="7">
        <v>1200</v>
      </c>
      <c r="E243" t="s">
        <v>451</v>
      </c>
      <c r="F243" t="s">
        <v>21</v>
      </c>
      <c r="G243" t="s">
        <v>154</v>
      </c>
    </row>
    <row r="244" spans="1:7">
      <c r="A244" s="5"/>
      <c r="D244" s="7"/>
    </row>
    <row r="245" spans="1:7">
      <c r="A245" s="5"/>
      <c r="D245" s="7"/>
    </row>
    <row r="246" spans="1:7">
      <c r="A246" s="5"/>
      <c r="D246" s="7"/>
    </row>
    <row r="247" spans="1:7">
      <c r="A247" s="5"/>
      <c r="D247" s="7"/>
    </row>
    <row r="248" spans="1:7">
      <c r="A248" s="5"/>
      <c r="D248" s="7"/>
    </row>
    <row r="249" spans="1:7">
      <c r="A249" s="5"/>
      <c r="D249" s="7"/>
    </row>
    <row r="250" spans="1:7">
      <c r="A250" s="5"/>
      <c r="D250" s="7"/>
    </row>
    <row r="251" spans="1:7">
      <c r="A251" s="5"/>
      <c r="D251" s="7"/>
    </row>
    <row r="252" spans="1:7">
      <c r="A252" s="5"/>
      <c r="D252" s="7"/>
    </row>
    <row r="253" spans="1:7">
      <c r="A253" s="5"/>
      <c r="D253" s="7"/>
    </row>
    <row r="254" spans="1:7">
      <c r="A254" s="5"/>
      <c r="D254" s="7"/>
    </row>
    <row r="255" spans="1:7">
      <c r="A255" s="5"/>
      <c r="D255" s="7"/>
    </row>
    <row r="256" spans="1:7">
      <c r="A256" s="5"/>
      <c r="D256" s="7"/>
    </row>
    <row r="257" spans="1:4">
      <c r="A257" s="5"/>
      <c r="D257" s="7"/>
    </row>
    <row r="258" spans="1:4">
      <c r="A258" s="5"/>
      <c r="D258" s="7"/>
    </row>
    <row r="259" spans="1:4">
      <c r="A259" s="5"/>
      <c r="D259" s="7"/>
    </row>
    <row r="260" spans="1:4">
      <c r="A260" s="5"/>
      <c r="D260" s="7"/>
    </row>
    <row r="261" spans="1:4">
      <c r="A261" s="5"/>
      <c r="D261" s="7"/>
    </row>
    <row r="262" spans="1:4">
      <c r="A262" s="5"/>
      <c r="D262" s="7"/>
    </row>
    <row r="263" spans="1:4">
      <c r="A263" s="5"/>
      <c r="D263" s="7"/>
    </row>
    <row r="264" spans="1:4">
      <c r="A264" s="5"/>
      <c r="D264" s="7"/>
    </row>
    <row r="265" spans="1:4">
      <c r="A265" s="5"/>
      <c r="D265" s="7"/>
    </row>
    <row r="266" spans="1:4">
      <c r="A266" s="5"/>
      <c r="D266" s="7"/>
    </row>
    <row r="267" spans="1:4">
      <c r="A267" s="5"/>
      <c r="D267" s="7"/>
    </row>
    <row r="268" spans="1:4">
      <c r="A268" s="5"/>
      <c r="D268" s="7"/>
    </row>
    <row r="269" spans="1:4">
      <c r="A269" s="5"/>
      <c r="D269" s="7"/>
    </row>
    <row r="270" spans="1:4">
      <c r="A270" s="5"/>
      <c r="D270" s="7"/>
    </row>
    <row r="271" spans="1:4">
      <c r="A271" s="5"/>
      <c r="D271" s="7"/>
    </row>
    <row r="272" spans="1:4">
      <c r="A272" s="5"/>
      <c r="D272" s="7"/>
    </row>
    <row r="273" spans="1:4">
      <c r="A273" s="5"/>
      <c r="D273" s="7"/>
    </row>
    <row r="274" spans="1:4">
      <c r="A274" s="5"/>
      <c r="D274" s="7"/>
    </row>
    <row r="275" spans="1:4">
      <c r="A275" s="5"/>
      <c r="D275" s="7"/>
    </row>
    <row r="276" spans="1:4">
      <c r="A276" s="5"/>
      <c r="D276" s="7"/>
    </row>
    <row r="277" spans="1:4">
      <c r="A277" s="5"/>
      <c r="D277" s="7"/>
    </row>
    <row r="278" spans="1:4">
      <c r="A278" s="5"/>
      <c r="D278" s="7"/>
    </row>
    <row r="279" spans="1:4">
      <c r="A279" s="5"/>
      <c r="D279" s="7"/>
    </row>
    <row r="280" spans="1:4">
      <c r="A280" s="5"/>
      <c r="D280" s="7"/>
    </row>
    <row r="281" spans="1:4">
      <c r="A281" s="5"/>
      <c r="D281" s="7"/>
    </row>
    <row r="282" spans="1:4">
      <c r="A282" s="5"/>
      <c r="D282" s="7"/>
    </row>
    <row r="283" spans="1:4">
      <c r="A283" s="5"/>
      <c r="D283" s="7"/>
    </row>
    <row r="284" spans="1:4">
      <c r="A284" s="5"/>
      <c r="D284" s="7"/>
    </row>
    <row r="285" spans="1:4">
      <c r="A285" s="5"/>
      <c r="D285" s="7"/>
    </row>
    <row r="286" spans="1:4">
      <c r="A286" s="5"/>
      <c r="D286" s="7"/>
    </row>
    <row r="287" spans="1:4">
      <c r="A287" s="5"/>
      <c r="D287" s="7"/>
    </row>
    <row r="288" spans="1:4">
      <c r="A288" s="5"/>
      <c r="D288" s="7"/>
    </row>
    <row r="289" spans="1:4">
      <c r="A289" s="5"/>
      <c r="D289" s="7"/>
    </row>
    <row r="290" spans="1:4">
      <c r="A290" s="5"/>
      <c r="D290" s="7"/>
    </row>
    <row r="291" spans="1:4">
      <c r="A291" s="5"/>
      <c r="D291" s="7"/>
    </row>
    <row r="292" spans="1:4">
      <c r="A292" s="5"/>
      <c r="D292" s="7"/>
    </row>
    <row r="293" spans="1:4">
      <c r="A293" s="5"/>
      <c r="D293" s="7"/>
    </row>
    <row r="294" spans="1:4">
      <c r="A294" s="5"/>
      <c r="D294" s="7"/>
    </row>
    <row r="295" spans="1:4">
      <c r="A295" s="5"/>
      <c r="D295" s="7"/>
    </row>
    <row r="296" spans="1:4">
      <c r="A296" s="5"/>
      <c r="D296" s="7"/>
    </row>
    <row r="297" spans="1:4">
      <c r="A297" s="5"/>
      <c r="D297" s="7"/>
    </row>
    <row r="298" spans="1:4">
      <c r="A298" s="5"/>
      <c r="D298" s="7"/>
    </row>
    <row r="299" spans="1:4">
      <c r="A299" s="5"/>
      <c r="D299" s="7"/>
    </row>
    <row r="300" spans="1:4">
      <c r="A300" s="5"/>
      <c r="D300" s="7"/>
    </row>
    <row r="301" spans="1:4">
      <c r="A301" s="5"/>
      <c r="D301" s="7"/>
    </row>
    <row r="302" spans="1:4">
      <c r="A302" s="5"/>
      <c r="D302" s="7"/>
    </row>
    <row r="303" spans="1:4">
      <c r="A303" s="5"/>
      <c r="D303" s="7"/>
    </row>
    <row r="304" spans="1:4">
      <c r="A304" s="5"/>
      <c r="D304" s="7"/>
    </row>
    <row r="305" spans="1:4">
      <c r="A305" s="5"/>
      <c r="D305" s="7"/>
    </row>
    <row r="306" spans="1:4">
      <c r="A306" s="5"/>
      <c r="D306" s="7"/>
    </row>
    <row r="307" spans="1:4">
      <c r="A307" s="5"/>
      <c r="D307" s="7"/>
    </row>
    <row r="308" spans="1:4">
      <c r="A308" s="5"/>
      <c r="D308" s="7"/>
    </row>
    <row r="309" spans="1:4">
      <c r="A309" s="5"/>
      <c r="D309" s="7"/>
    </row>
    <row r="310" spans="1:4">
      <c r="A310" s="5"/>
      <c r="D310" s="7"/>
    </row>
    <row r="311" spans="1:4">
      <c r="A311" s="5"/>
      <c r="D311" s="7"/>
    </row>
    <row r="312" spans="1:4">
      <c r="A312" s="5"/>
      <c r="D312" s="7"/>
    </row>
    <row r="313" spans="1:4">
      <c r="A313" s="5"/>
      <c r="D313" s="7"/>
    </row>
    <row r="314" spans="1:4">
      <c r="A314" s="5"/>
      <c r="D314" s="7"/>
    </row>
    <row r="315" spans="1:4">
      <c r="A315" s="5"/>
      <c r="D315" s="7"/>
    </row>
    <row r="316" spans="1:4">
      <c r="A316" s="5"/>
      <c r="D316" s="7"/>
    </row>
    <row r="317" spans="1:4">
      <c r="A317" s="5"/>
      <c r="D317" s="7"/>
    </row>
    <row r="318" spans="1:4">
      <c r="A318" s="5"/>
      <c r="D318" s="7"/>
    </row>
    <row r="319" spans="1:4">
      <c r="A319" s="5"/>
      <c r="D319" s="7"/>
    </row>
    <row r="320" spans="1:4">
      <c r="A320" s="5"/>
      <c r="D320" s="7"/>
    </row>
    <row r="321" spans="1:4">
      <c r="A321" s="5"/>
      <c r="D321" s="7"/>
    </row>
    <row r="322" spans="1:4">
      <c r="A322" s="5"/>
      <c r="D322" s="7"/>
    </row>
    <row r="323" spans="1:4">
      <c r="A323" s="5"/>
      <c r="D323" s="7"/>
    </row>
    <row r="324" spans="1:4">
      <c r="A324" s="5"/>
      <c r="D324" s="7"/>
    </row>
    <row r="325" spans="1:4">
      <c r="A325" s="5"/>
      <c r="D325" s="7"/>
    </row>
    <row r="326" spans="1:4">
      <c r="A326" s="5"/>
      <c r="D326" s="7"/>
    </row>
    <row r="327" spans="1:4">
      <c r="A327" s="5"/>
      <c r="D327" s="7"/>
    </row>
    <row r="328" spans="1:4">
      <c r="A328" s="5"/>
      <c r="D328" s="7"/>
    </row>
    <row r="329" spans="1:4">
      <c r="A329" s="5"/>
      <c r="D329" s="7"/>
    </row>
    <row r="330" spans="1:4">
      <c r="A330" s="5"/>
      <c r="D330" s="7"/>
    </row>
    <row r="331" spans="1:4">
      <c r="A331" s="5"/>
      <c r="D331" s="7"/>
    </row>
    <row r="332" spans="1:4">
      <c r="A332" s="5"/>
      <c r="D332" s="7"/>
    </row>
    <row r="333" spans="1:4">
      <c r="A333" s="5"/>
      <c r="D333" s="7"/>
    </row>
    <row r="334" spans="1:4">
      <c r="A334" s="5"/>
      <c r="D334" s="7"/>
    </row>
    <row r="335" spans="1:4">
      <c r="A335" s="5"/>
      <c r="D335" s="7"/>
    </row>
    <row r="336" spans="1:4">
      <c r="A336" s="5"/>
      <c r="D336" s="7"/>
    </row>
    <row r="337" spans="1:4">
      <c r="A337" s="5"/>
      <c r="D337" s="7"/>
    </row>
    <row r="338" spans="1:4">
      <c r="A338" s="5"/>
      <c r="D338" s="7"/>
    </row>
    <row r="339" spans="1:4">
      <c r="A339" s="5"/>
      <c r="D339" s="7"/>
    </row>
    <row r="340" spans="1:4">
      <c r="A340" s="5"/>
      <c r="D340" s="7"/>
    </row>
    <row r="341" spans="1:4">
      <c r="A341" s="5"/>
      <c r="D341" s="7"/>
    </row>
    <row r="342" spans="1:4">
      <c r="A342" s="5"/>
      <c r="D342" s="7"/>
    </row>
    <row r="343" spans="1:4">
      <c r="A343" s="5"/>
      <c r="D343" s="7"/>
    </row>
    <row r="344" spans="1:4">
      <c r="A344" s="5"/>
      <c r="D344" s="7"/>
    </row>
    <row r="345" spans="1:4">
      <c r="A345" s="5"/>
      <c r="D345" s="7"/>
    </row>
    <row r="346" spans="1:4">
      <c r="A346" s="5"/>
      <c r="D346" s="7"/>
    </row>
    <row r="347" spans="1:4">
      <c r="A347" s="5"/>
      <c r="D347" s="7"/>
    </row>
    <row r="348" spans="1:4">
      <c r="A348" s="5"/>
      <c r="D348" s="7"/>
    </row>
    <row r="349" spans="1:4">
      <c r="A349" s="5"/>
      <c r="D349" s="7"/>
    </row>
    <row r="350" spans="1:4">
      <c r="A350" s="5"/>
      <c r="D350" s="7"/>
    </row>
    <row r="351" spans="1:4">
      <c r="A351" s="5"/>
      <c r="D351" s="7"/>
    </row>
    <row r="352" spans="1:4">
      <c r="A352" s="5"/>
      <c r="D352" s="7"/>
    </row>
    <row r="353" spans="1:4">
      <c r="A353" s="5"/>
      <c r="D353" s="7"/>
    </row>
    <row r="354" spans="1:4">
      <c r="A354" s="5"/>
      <c r="D354" s="7"/>
    </row>
    <row r="355" spans="1:4">
      <c r="A355" s="5"/>
      <c r="D355" s="7"/>
    </row>
    <row r="356" spans="1:4">
      <c r="A356" s="5"/>
      <c r="D356" s="7"/>
    </row>
    <row r="357" spans="1:4">
      <c r="A357" s="5"/>
      <c r="D357" s="7"/>
    </row>
    <row r="358" spans="1:4">
      <c r="A358" s="5"/>
      <c r="D358" s="7"/>
    </row>
    <row r="359" spans="1:4">
      <c r="A359" s="5"/>
      <c r="D359" s="7"/>
    </row>
    <row r="360" spans="1:4">
      <c r="A360" s="5"/>
      <c r="D360" s="7"/>
    </row>
    <row r="361" spans="1:4">
      <c r="A361" s="5"/>
      <c r="D361" s="7"/>
    </row>
    <row r="362" spans="1:4">
      <c r="A362" s="5"/>
      <c r="D362" s="7"/>
    </row>
    <row r="363" spans="1:4">
      <c r="A363" s="5"/>
      <c r="D363" s="7"/>
    </row>
    <row r="364" spans="1:4">
      <c r="A364" s="5"/>
      <c r="D364" s="7"/>
    </row>
    <row r="365" spans="1:4">
      <c r="A365" s="5"/>
      <c r="D365" s="7"/>
    </row>
    <row r="366" spans="1:4">
      <c r="A366" s="5"/>
      <c r="D366" s="7"/>
    </row>
    <row r="367" spans="1:4">
      <c r="A367" s="5"/>
      <c r="D367" s="7"/>
    </row>
    <row r="368" spans="1:4">
      <c r="A368" s="5"/>
      <c r="D368" s="7"/>
    </row>
    <row r="369" spans="1:4">
      <c r="A369" s="5"/>
      <c r="D369" s="7"/>
    </row>
    <row r="370" spans="1:4">
      <c r="A370" s="5"/>
      <c r="D370" s="7"/>
    </row>
    <row r="371" spans="1:4">
      <c r="A371" s="5"/>
      <c r="D371" s="7"/>
    </row>
    <row r="372" spans="1:4">
      <c r="A372" s="5"/>
      <c r="D372" s="7"/>
    </row>
    <row r="373" spans="1:4">
      <c r="A373" s="5"/>
      <c r="D373" s="7"/>
    </row>
    <row r="374" spans="1:4">
      <c r="A374" s="5"/>
      <c r="D374" s="7"/>
    </row>
    <row r="375" spans="1:4">
      <c r="A375" s="5"/>
      <c r="D375" s="7"/>
    </row>
    <row r="376" spans="1:4">
      <c r="A376" s="5"/>
      <c r="D376" s="7"/>
    </row>
    <row r="377" spans="1:4">
      <c r="A377" s="5"/>
      <c r="D377" s="7"/>
    </row>
    <row r="378" spans="1:4">
      <c r="A378" s="5"/>
      <c r="D378" s="7"/>
    </row>
    <row r="379" spans="1:4">
      <c r="A379" s="5"/>
      <c r="D379" s="7"/>
    </row>
    <row r="380" spans="1:4">
      <c r="A380" s="5"/>
      <c r="D380" s="7"/>
    </row>
    <row r="381" spans="1:4">
      <c r="A381" s="5"/>
      <c r="D381" s="7"/>
    </row>
    <row r="382" spans="1:4">
      <c r="A382" s="5"/>
      <c r="D382" s="7"/>
    </row>
    <row r="383" spans="1:4">
      <c r="A383" s="5"/>
      <c r="D383" s="7"/>
    </row>
    <row r="384" spans="1:4">
      <c r="A384" s="5"/>
      <c r="D384" s="7"/>
    </row>
    <row r="385" spans="1:4">
      <c r="A385" s="5"/>
      <c r="D385" s="7"/>
    </row>
    <row r="386" spans="1:4">
      <c r="A386" s="5"/>
      <c r="D386" s="7"/>
    </row>
    <row r="387" spans="1:4">
      <c r="A387" s="5"/>
      <c r="D387" s="7"/>
    </row>
    <row r="388" spans="1:4">
      <c r="A388" s="5"/>
      <c r="D388" s="7"/>
    </row>
    <row r="389" spans="1:4">
      <c r="A389" s="5"/>
      <c r="D389" s="7"/>
    </row>
    <row r="390" spans="1:4">
      <c r="A390" s="5"/>
      <c r="D390" s="7"/>
    </row>
    <row r="391" spans="1:4">
      <c r="A391" s="5"/>
      <c r="D391" s="7"/>
    </row>
    <row r="392" spans="1:4">
      <c r="A392" s="5"/>
      <c r="D392" s="7"/>
    </row>
    <row r="393" spans="1:4">
      <c r="A393" s="5"/>
      <c r="D393" s="7"/>
    </row>
    <row r="394" spans="1:4">
      <c r="A394" s="5"/>
      <c r="D394" s="7"/>
    </row>
    <row r="395" spans="1:4">
      <c r="A395" s="5"/>
      <c r="D395" s="7"/>
    </row>
    <row r="396" spans="1:4">
      <c r="A396" s="5"/>
      <c r="D396" s="7"/>
    </row>
    <row r="397" spans="1:4">
      <c r="A397" s="5"/>
      <c r="D397" s="7"/>
    </row>
    <row r="398" spans="1:4">
      <c r="A398" s="5"/>
      <c r="D398" s="7"/>
    </row>
    <row r="399" spans="1:4">
      <c r="A399" s="5"/>
      <c r="D399" s="7"/>
    </row>
    <row r="400" spans="1:4">
      <c r="A400" s="5"/>
      <c r="D400" s="7"/>
    </row>
    <row r="401" spans="1:4">
      <c r="A401" s="5"/>
      <c r="D401" s="7"/>
    </row>
    <row r="402" spans="1:4">
      <c r="A402" s="5"/>
      <c r="D402" s="7"/>
    </row>
    <row r="403" spans="1:4">
      <c r="A403" s="5"/>
      <c r="D403" s="7"/>
    </row>
    <row r="404" spans="1:4">
      <c r="A404" s="5"/>
      <c r="D404" s="7"/>
    </row>
    <row r="405" spans="1:4">
      <c r="A405" s="5"/>
      <c r="D405" s="7"/>
    </row>
    <row r="406" spans="1:4">
      <c r="A406" s="5"/>
      <c r="D406" s="7"/>
    </row>
    <row r="407" spans="1:4">
      <c r="A407" s="5"/>
      <c r="D407" s="7"/>
    </row>
    <row r="408" spans="1:4">
      <c r="A408" s="5"/>
      <c r="D408" s="7"/>
    </row>
    <row r="409" spans="1:4">
      <c r="A409" s="5"/>
      <c r="D409" s="7"/>
    </row>
    <row r="410" spans="1:4">
      <c r="A410" s="5"/>
      <c r="D410" s="7"/>
    </row>
    <row r="411" spans="1:4">
      <c r="A411" s="5"/>
      <c r="D411" s="7"/>
    </row>
    <row r="412" spans="1:4">
      <c r="A412" s="5"/>
      <c r="D412" s="7"/>
    </row>
    <row r="413" spans="1:4">
      <c r="A413" s="5"/>
      <c r="D413" s="7"/>
    </row>
    <row r="414" spans="1:4">
      <c r="A414" s="5"/>
      <c r="D414" s="7"/>
    </row>
    <row r="415" spans="1:4">
      <c r="A415" s="5"/>
      <c r="D415" s="7"/>
    </row>
    <row r="416" spans="1:4">
      <c r="A416" s="5"/>
      <c r="D416" s="7"/>
    </row>
    <row r="417" spans="1:4">
      <c r="A417" s="5"/>
      <c r="D417" s="7"/>
    </row>
    <row r="418" spans="1:4">
      <c r="A418" s="5"/>
      <c r="D418" s="7"/>
    </row>
    <row r="419" spans="1:4">
      <c r="A419" s="5"/>
      <c r="D419" s="7"/>
    </row>
    <row r="420" spans="1:4">
      <c r="A420" s="5"/>
      <c r="D420" s="7"/>
    </row>
    <row r="421" spans="1:4">
      <c r="A421" s="5"/>
      <c r="D421" s="7"/>
    </row>
    <row r="422" spans="1:4">
      <c r="A422" s="5"/>
      <c r="D422" s="7"/>
    </row>
    <row r="423" spans="1:4">
      <c r="A423" s="5"/>
      <c r="D423" s="7"/>
    </row>
    <row r="424" spans="1:4">
      <c r="A424" s="5"/>
      <c r="D424" s="7"/>
    </row>
    <row r="425" spans="1:4">
      <c r="A425" s="5"/>
      <c r="D425" s="7"/>
    </row>
    <row r="426" spans="1:4">
      <c r="A426" s="5"/>
      <c r="D426" s="7"/>
    </row>
    <row r="427" spans="1:4">
      <c r="A427" s="5"/>
      <c r="D427" s="7"/>
    </row>
    <row r="428" spans="1:4">
      <c r="A428" s="5"/>
      <c r="D428" s="7"/>
    </row>
    <row r="429" spans="1:4">
      <c r="A429" s="5"/>
      <c r="D429" s="7"/>
    </row>
    <row r="430" spans="1:4">
      <c r="A430" s="5"/>
      <c r="D430" s="7"/>
    </row>
    <row r="431" spans="1:4">
      <c r="A431" s="5"/>
      <c r="D431" s="7"/>
    </row>
    <row r="432" spans="1:4">
      <c r="A432" s="5"/>
      <c r="D432" s="7"/>
    </row>
    <row r="433" spans="1:4">
      <c r="A433" s="5"/>
      <c r="D433" s="7"/>
    </row>
    <row r="434" spans="1:4">
      <c r="A434" s="5"/>
      <c r="D434" s="7"/>
    </row>
    <row r="435" spans="1:4">
      <c r="A435" s="5"/>
      <c r="D435" s="7"/>
    </row>
    <row r="436" spans="1:4">
      <c r="A436" s="5"/>
      <c r="D436" s="7"/>
    </row>
    <row r="437" spans="1:4">
      <c r="A437" s="5"/>
      <c r="D437" s="7"/>
    </row>
    <row r="438" spans="1:4">
      <c r="A438" s="5"/>
      <c r="D438" s="7"/>
    </row>
    <row r="439" spans="1:4">
      <c r="A439" s="5"/>
      <c r="D439" s="7"/>
    </row>
    <row r="440" spans="1:4">
      <c r="A440" s="5"/>
      <c r="D440" s="7"/>
    </row>
    <row r="441" spans="1:4">
      <c r="A441" s="5"/>
      <c r="D441" s="7"/>
    </row>
    <row r="442" spans="1:4">
      <c r="A442" s="5"/>
      <c r="D442" s="7"/>
    </row>
    <row r="443" spans="1:4">
      <c r="A443" s="5"/>
      <c r="D443" s="7"/>
    </row>
    <row r="444" spans="1:4">
      <c r="A444" s="5"/>
      <c r="D444" s="7"/>
    </row>
    <row r="445" spans="1:4">
      <c r="A445" s="5"/>
      <c r="D445" s="7"/>
    </row>
    <row r="446" spans="1:4">
      <c r="A446" s="5"/>
      <c r="D446" s="7"/>
    </row>
    <row r="447" spans="1:4">
      <c r="A447" s="5"/>
      <c r="D447" s="7"/>
    </row>
    <row r="448" spans="1:4">
      <c r="A448" s="5"/>
      <c r="D448" s="7"/>
    </row>
    <row r="449" spans="1:4">
      <c r="A449" s="5"/>
      <c r="D449" s="7"/>
    </row>
    <row r="450" spans="1:4">
      <c r="A450" s="5"/>
      <c r="D450" s="7"/>
    </row>
    <row r="451" spans="1:4">
      <c r="A451" s="5"/>
      <c r="D451" s="7"/>
    </row>
    <row r="452" spans="1:4">
      <c r="A452" s="5"/>
      <c r="D452" s="7"/>
    </row>
    <row r="453" spans="1:4">
      <c r="A453" s="5"/>
      <c r="D453" s="7"/>
    </row>
    <row r="454" spans="1:4">
      <c r="A454" s="5"/>
      <c r="D454" s="7"/>
    </row>
    <row r="455" spans="1:4">
      <c r="A455" s="5"/>
      <c r="D455" s="7"/>
    </row>
    <row r="456" spans="1:4">
      <c r="A456" s="5"/>
      <c r="D456" s="7"/>
    </row>
    <row r="457" spans="1:4">
      <c r="A457" s="5"/>
      <c r="D457" s="7"/>
    </row>
    <row r="458" spans="1:4">
      <c r="A458" s="5"/>
      <c r="D458" s="7"/>
    </row>
    <row r="459" spans="1:4">
      <c r="A459" s="5"/>
      <c r="D459" s="7"/>
    </row>
    <row r="460" spans="1:4">
      <c r="A460" s="5"/>
      <c r="D460" s="7"/>
    </row>
    <row r="461" spans="1:4">
      <c r="A461" s="5"/>
      <c r="D461" s="7"/>
    </row>
    <row r="462" spans="1:4">
      <c r="A462" s="5"/>
      <c r="D462" s="7"/>
    </row>
    <row r="463" spans="1:4">
      <c r="A463" s="5"/>
      <c r="D463" s="7"/>
    </row>
    <row r="464" spans="1:4">
      <c r="A464" s="5"/>
      <c r="D464" s="7"/>
    </row>
    <row r="465" spans="1:4">
      <c r="A465" s="5"/>
      <c r="D465" s="7"/>
    </row>
    <row r="466" spans="1:4">
      <c r="A466" s="5"/>
      <c r="D466" s="7"/>
    </row>
    <row r="467" spans="1:4">
      <c r="A467" s="5"/>
      <c r="D467" s="7"/>
    </row>
    <row r="468" spans="1:4">
      <c r="A468" s="5"/>
      <c r="D468" s="7"/>
    </row>
    <row r="469" spans="1:4">
      <c r="A469" s="5"/>
      <c r="D469" s="7"/>
    </row>
    <row r="470" spans="1:4">
      <c r="A470" s="5"/>
      <c r="D470" s="7"/>
    </row>
    <row r="471" spans="1:4">
      <c r="A471" s="5"/>
      <c r="D471" s="7"/>
    </row>
    <row r="472" spans="1:4">
      <c r="A472" s="5"/>
      <c r="D472" s="7"/>
    </row>
    <row r="473" spans="1:4">
      <c r="A473" s="5"/>
      <c r="D473" s="7"/>
    </row>
    <row r="474" spans="1:4">
      <c r="A474" s="5"/>
      <c r="D474" s="7"/>
    </row>
    <row r="475" spans="1:4">
      <c r="A475" s="5"/>
      <c r="D475" s="7"/>
    </row>
    <row r="476" spans="1:4">
      <c r="A476" s="5"/>
      <c r="D476" s="7"/>
    </row>
    <row r="477" spans="1:4">
      <c r="A477" s="5"/>
      <c r="D477" s="7"/>
    </row>
    <row r="478" spans="1:4">
      <c r="A478" s="5"/>
      <c r="D478" s="7"/>
    </row>
    <row r="479" spans="1:4">
      <c r="A479" s="5"/>
      <c r="D479" s="7"/>
    </row>
    <row r="480" spans="1:4">
      <c r="A480" s="5"/>
      <c r="D480" s="7"/>
    </row>
    <row r="481" spans="1:4">
      <c r="A481" s="5"/>
      <c r="D481" s="7"/>
    </row>
    <row r="482" spans="1:4">
      <c r="A482" s="5"/>
      <c r="D482" s="7"/>
    </row>
    <row r="483" spans="1:4">
      <c r="A483" s="5"/>
      <c r="D483" s="7"/>
    </row>
    <row r="484" spans="1:4">
      <c r="A484" s="5"/>
      <c r="D484" s="7"/>
    </row>
    <row r="485" spans="1:4">
      <c r="A485" s="5"/>
      <c r="D485" s="7"/>
    </row>
    <row r="486" spans="1:4">
      <c r="A486" s="5"/>
      <c r="D486" s="7"/>
    </row>
    <row r="487" spans="1:4">
      <c r="A487" s="5"/>
      <c r="D487" s="7"/>
    </row>
    <row r="488" spans="1:4">
      <c r="A488" s="5"/>
      <c r="D488" s="7"/>
    </row>
    <row r="489" spans="1:4">
      <c r="A489" s="5"/>
      <c r="D489" s="7"/>
    </row>
    <row r="490" spans="1:4">
      <c r="A490" s="5"/>
      <c r="D490" s="7"/>
    </row>
    <row r="491" spans="1:4">
      <c r="A491" s="5"/>
      <c r="D491" s="7"/>
    </row>
    <row r="492" spans="1:4">
      <c r="A492" s="5"/>
      <c r="D492" s="7"/>
    </row>
    <row r="493" spans="1:4">
      <c r="A493" s="5"/>
      <c r="D493" s="7"/>
    </row>
    <row r="494" spans="1:4">
      <c r="A494" s="5"/>
      <c r="D494" s="7"/>
    </row>
    <row r="495" spans="1:4">
      <c r="A495" s="5"/>
      <c r="D495" s="7"/>
    </row>
    <row r="496" spans="1:4">
      <c r="A496" s="5"/>
      <c r="D496" s="7"/>
    </row>
    <row r="497" spans="1:4">
      <c r="A497" s="5"/>
      <c r="D497" s="7"/>
    </row>
    <row r="498" spans="1:4">
      <c r="A498" s="5"/>
      <c r="D498" s="7"/>
    </row>
    <row r="499" spans="1:4">
      <c r="A499" s="5"/>
      <c r="D499" s="7"/>
    </row>
    <row r="500" spans="1:4">
      <c r="A500" s="5"/>
      <c r="D500" s="7"/>
    </row>
    <row r="501" spans="1:4">
      <c r="A501" s="5"/>
      <c r="D501" s="7"/>
    </row>
    <row r="502" spans="1:4">
      <c r="A502" s="5"/>
      <c r="D502" s="7"/>
    </row>
  </sheetData>
  <mergeCells count="2">
    <mergeCell ref="A1:G1"/>
    <mergeCell ref="A2:G2"/>
  </mergeCells>
  <conditionalFormatting sqref="A4:G502">
    <cfRule type="expression" dxfId="15" priority="20">
      <formula>$G4="Previsto"</formula>
    </cfRule>
  </conditionalFormatting>
  <dataValidations xWindow="746" yWindow="620" count="5">
    <dataValidation type="list" allowBlank="1" showInputMessage="1" showErrorMessage="1" sqref="B503:B625" xr:uid="{F6C12F58-99CA-4DB4-B73E-076A3D3D4EEA}">
      <formula1>"Habitação,Alimentação,Transporte,Saúde,Educação,Vestuário,Lazer,Trabalho,Caridade,Dívidas,Outros"</formula1>
    </dataValidation>
    <dataValidation type="list" allowBlank="1" showInputMessage="1" showErrorMessage="1" sqref="E503:E625" xr:uid="{4E4C3A33-32B3-4EF5-B018-4CF2BA0CB158}">
      <formula1>"CAD_Meios_Pgto!$A$2:$A$7"</formula1>
    </dataValidation>
    <dataValidation type="list" allowBlank="1" showInputMessage="1" showErrorMessage="1" sqref="B4:B502" xr:uid="{C646AB3E-5C7E-4C1B-B9A5-64A739D988B5}">
      <formula1>Categorias_Despesa</formula1>
    </dataValidation>
    <dataValidation type="list" allowBlank="1" showInputMessage="1" showErrorMessage="1" sqref="G4:G502" xr:uid="{AF9F592A-3462-4A61-8EBE-35F7595D35D6}">
      <formula1>"Realizado,Previsto"</formula1>
    </dataValidation>
    <dataValidation type="list" allowBlank="1" showInputMessage="1" showErrorMessage="1" sqref="C4:C502" xr:uid="{EB8B452C-F982-49CD-BAA1-C38939548F05}">
      <formula1>INDIRECT($F4)</formula1>
    </dataValidation>
  </dataValidations>
  <pageMargins left="0.511811024" right="0.511811024" top="0.78740157499999996" bottom="0.78740157499999996" header="0.31496062000000002" footer="0.31496062000000002"/>
  <pageSetup paperSize="9" scale="1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DA29-CD83-4713-AC8C-0FECFD3D54EC}">
  <sheetPr>
    <tabColor rgb="FF3498DB"/>
    <pageSetUpPr fitToPage="1"/>
  </sheetPr>
  <dimension ref="A1:L1004"/>
  <sheetViews>
    <sheetView topLeftCell="D1" zoomScale="120" zoomScaleNormal="120" workbookViewId="0">
      <pane ySplit="3" topLeftCell="A4" activePane="bottomLeft" state="frozen"/>
      <selection pane="bottomLeft" activeCell="G9" sqref="G9"/>
    </sheetView>
  </sheetViews>
  <sheetFormatPr defaultRowHeight="14.4"/>
  <cols>
    <col min="1" max="1" width="17" customWidth="1"/>
    <col min="2" max="2" width="18.5546875" customWidth="1"/>
    <col min="3" max="3" width="29.33203125" bestFit="1" customWidth="1"/>
    <col min="4" max="4" width="24.88671875" bestFit="1" customWidth="1"/>
    <col min="5" max="5" width="18.5546875" customWidth="1"/>
    <col min="6" max="6" width="12.77734375" customWidth="1"/>
    <col min="7" max="7" width="27.77734375" customWidth="1"/>
    <col min="8" max="8" width="14.77734375" hidden="1" customWidth="1"/>
    <col min="9" max="9" width="22.21875" customWidth="1"/>
    <col min="10" max="10" width="27.77734375" customWidth="1"/>
    <col min="11" max="11" width="9.21875" customWidth="1"/>
    <col min="12" max="12" width="18.5546875" customWidth="1"/>
    <col min="13" max="13" width="14.77734375" customWidth="1"/>
    <col min="14" max="14" width="13" customWidth="1"/>
    <col min="15" max="15" width="16.6640625" customWidth="1"/>
  </cols>
  <sheetData>
    <row r="1" spans="1:12" ht="30" customHeight="1">
      <c r="A1" s="359" t="s">
        <v>343</v>
      </c>
      <c r="B1" s="359"/>
      <c r="C1" s="359"/>
      <c r="D1" s="359"/>
      <c r="E1" s="359"/>
      <c r="F1" s="359"/>
      <c r="G1" s="359"/>
      <c r="H1" s="359"/>
      <c r="I1" s="186"/>
      <c r="J1" s="275" t="s">
        <v>355</v>
      </c>
      <c r="K1" s="276">
        <f>COUNTIF(I:I,"⚠️ Pendente")</f>
        <v>0</v>
      </c>
      <c r="L1" s="10" t="str">
        <f>IF(K1=0,"✅ Tudo OK!","⚠️ Gerar parcelas!")</f>
        <v>✅ Tudo OK!</v>
      </c>
    </row>
    <row r="2" spans="1:12" ht="19.95" customHeight="1" thickBot="1">
      <c r="A2" s="360" t="s">
        <v>344</v>
      </c>
      <c r="B2" s="360"/>
      <c r="C2" s="360"/>
      <c r="D2" s="360"/>
      <c r="E2" s="360"/>
      <c r="F2" s="360"/>
      <c r="G2" s="360"/>
      <c r="H2" s="360"/>
      <c r="I2" s="271"/>
    </row>
    <row r="3" spans="1:12" ht="25.05" customHeight="1">
      <c r="A3" s="65" t="s">
        <v>241</v>
      </c>
      <c r="B3" s="66" t="s">
        <v>236</v>
      </c>
      <c r="C3" s="66" t="s">
        <v>237</v>
      </c>
      <c r="D3" s="66" t="s">
        <v>242</v>
      </c>
      <c r="E3" s="66" t="s">
        <v>243</v>
      </c>
      <c r="F3" s="66" t="s">
        <v>244</v>
      </c>
      <c r="G3" s="66" t="s">
        <v>245</v>
      </c>
      <c r="H3" s="67" t="s">
        <v>123</v>
      </c>
      <c r="I3" s="274" t="s">
        <v>354</v>
      </c>
    </row>
    <row r="4" spans="1:12">
      <c r="A4" s="55">
        <v>45662</v>
      </c>
      <c r="B4" s="56" t="s">
        <v>37</v>
      </c>
      <c r="C4" s="56" t="s">
        <v>434</v>
      </c>
      <c r="D4" s="56" t="s">
        <v>456</v>
      </c>
      <c r="E4" s="57">
        <v>450</v>
      </c>
      <c r="F4" s="58">
        <v>1</v>
      </c>
      <c r="G4" s="56" t="s">
        <v>391</v>
      </c>
      <c r="H4" s="63" t="str">
        <f>IF(tbCartoes[[#This Row],[📂 Categoria]]="","",SUBSTITUTE(tbCartoes[[#This Row],[📂 Categoria]]," ","_"))</f>
        <v>Alimentação</v>
      </c>
      <c r="I4" s="272" t="str">
        <f>IF(A4="","",IF(COUNTIFS(tbParcelas6[Data_Compra],A4,tbParcelas6[Descrição],D4)&gt;0,"✅ Gerada","⚠️ Pendente"))</f>
        <v>✅ Gerada</v>
      </c>
    </row>
    <row r="5" spans="1:12">
      <c r="A5" s="59">
        <v>45667</v>
      </c>
      <c r="B5" s="60" t="s">
        <v>58</v>
      </c>
      <c r="C5" s="60" t="s">
        <v>59</v>
      </c>
      <c r="D5" s="60" t="s">
        <v>457</v>
      </c>
      <c r="E5" s="61">
        <v>890</v>
      </c>
      <c r="F5" s="62">
        <v>3</v>
      </c>
      <c r="G5" s="60" t="s">
        <v>390</v>
      </c>
      <c r="H5" s="64" t="str">
        <f>IF(tbCartoes[[#This Row],[📂 Categoria]]="","",SUBSTITUTE(tbCartoes[[#This Row],[📂 Categoria]]," ","_"))</f>
        <v>Vestuário</v>
      </c>
      <c r="I5" s="273" t="str">
        <f>IF(A5="","",IF(COUNTIFS(tbParcelas6[Data_Compra],A5,tbParcelas6[Descrição],D5)&gt;0,"✅ Gerada","⚠️ Pendente"))</f>
        <v>✅ Gerada</v>
      </c>
    </row>
    <row r="6" spans="1:12">
      <c r="A6" s="55">
        <v>45672</v>
      </c>
      <c r="B6" s="56" t="s">
        <v>62</v>
      </c>
      <c r="C6" s="56" t="s">
        <v>458</v>
      </c>
      <c r="D6" s="56" t="s">
        <v>459</v>
      </c>
      <c r="E6" s="57">
        <v>3600</v>
      </c>
      <c r="F6" s="58">
        <v>6</v>
      </c>
      <c r="G6" s="56" t="s">
        <v>392</v>
      </c>
      <c r="H6" s="63" t="str">
        <f>IF(tbCartoes[[#This Row],[📂 Categoria]]="","",SUBSTITUTE(tbCartoes[[#This Row],[📂 Categoria]]," ","_"))</f>
        <v>Lazer</v>
      </c>
      <c r="I6" s="272" t="str">
        <f>IF(A6="","",IF(COUNTIFS(tbParcelas6[Data_Compra],A6,tbParcelas6[Descrição],D6)&gt;0,"✅ Gerada","⚠️ Pendente"))</f>
        <v>✅ Gerada</v>
      </c>
    </row>
    <row r="7" spans="1:12">
      <c r="A7" s="59">
        <v>45677</v>
      </c>
      <c r="B7" s="60" t="s">
        <v>23</v>
      </c>
      <c r="C7" s="60" t="s">
        <v>460</v>
      </c>
      <c r="D7" s="60" t="s">
        <v>461</v>
      </c>
      <c r="E7" s="61">
        <v>4500</v>
      </c>
      <c r="F7" s="62">
        <v>10</v>
      </c>
      <c r="G7" s="60" t="s">
        <v>391</v>
      </c>
      <c r="H7" s="64" t="str">
        <f>IF(tbCartoes[[#This Row],[📂 Categoria]]="","",SUBSTITUTE(tbCartoes[[#This Row],[📂 Categoria]]," ","_"))</f>
        <v>Habitação</v>
      </c>
      <c r="I7" s="273" t="str">
        <f>IF(A7="","",IF(COUNTIFS(tbParcelas6[Data_Compra],A7,tbParcelas6[Descrição],D7)&gt;0,"✅ Gerada","⚠️ Pendente"))</f>
        <v>✅ Gerada</v>
      </c>
    </row>
    <row r="8" spans="1:12">
      <c r="A8" s="55">
        <v>45691</v>
      </c>
      <c r="B8" s="56" t="s">
        <v>54</v>
      </c>
      <c r="C8" s="56" t="s">
        <v>462</v>
      </c>
      <c r="D8" s="56" t="s">
        <v>463</v>
      </c>
      <c r="E8" s="57">
        <v>297</v>
      </c>
      <c r="F8" s="58">
        <v>1</v>
      </c>
      <c r="G8" s="56" t="s">
        <v>390</v>
      </c>
      <c r="H8" s="63" t="str">
        <f>IF(tbCartoes[[#This Row],[📂 Categoria]]="","",SUBSTITUTE(tbCartoes[[#This Row],[📂 Categoria]]," ","_"))</f>
        <v>Educação</v>
      </c>
      <c r="I8" s="272" t="str">
        <f>IF(A8="","",IF(COUNTIFS(tbParcelas6[Data_Compra],A8,tbParcelas6[Descrição],D8)&gt;0,"✅ Gerada","⚠️ Pendente"))</f>
        <v>✅ Gerada</v>
      </c>
    </row>
    <row r="9" spans="1:12">
      <c r="A9" s="59">
        <v>45702</v>
      </c>
      <c r="B9" s="60" t="s">
        <v>62</v>
      </c>
      <c r="C9" s="60" t="s">
        <v>64</v>
      </c>
      <c r="D9" s="60" t="s">
        <v>464</v>
      </c>
      <c r="E9" s="61">
        <v>380</v>
      </c>
      <c r="F9" s="62">
        <v>1</v>
      </c>
      <c r="G9" s="60" t="s">
        <v>392</v>
      </c>
      <c r="H9" s="64" t="str">
        <f>IF(tbCartoes[[#This Row],[📂 Categoria]]="","",SUBSTITUTE(tbCartoes[[#This Row],[📂 Categoria]]," ","_"))</f>
        <v>Lazer</v>
      </c>
      <c r="I9" s="273" t="str">
        <f>IF(A9="","",IF(COUNTIFS(tbParcelas6[Data_Compra],A9,tbParcelas6[Descrição],D9)&gt;0,"✅ Gerada","⚠️ Pendente"))</f>
        <v>✅ Gerada</v>
      </c>
    </row>
    <row r="10" spans="1:12">
      <c r="A10" s="55">
        <v>45708</v>
      </c>
      <c r="B10" s="56" t="s">
        <v>50</v>
      </c>
      <c r="C10" s="56" t="s">
        <v>465</v>
      </c>
      <c r="D10" s="56" t="s">
        <v>466</v>
      </c>
      <c r="E10" s="57">
        <v>1200</v>
      </c>
      <c r="F10" s="58">
        <v>4</v>
      </c>
      <c r="G10" s="56" t="s">
        <v>391</v>
      </c>
      <c r="H10" s="63" t="str">
        <f>IF(tbCartoes[[#This Row],[📂 Categoria]]="","",SUBSTITUTE(tbCartoes[[#This Row],[📂 Categoria]]," ","_"))</f>
        <v>Saúde</v>
      </c>
      <c r="I10" s="272" t="str">
        <f>IF(A10="","",IF(COUNTIFS(tbParcelas6[Data_Compra],A10,tbParcelas6[Descrição],D10)&gt;0,"✅ Gerada","⚠️ Pendente"))</f>
        <v>✅ Gerada</v>
      </c>
    </row>
    <row r="11" spans="1:12">
      <c r="A11" s="59">
        <v>45721</v>
      </c>
      <c r="B11" s="60" t="s">
        <v>44</v>
      </c>
      <c r="C11" s="60" t="s">
        <v>48</v>
      </c>
      <c r="D11" s="60" t="s">
        <v>467</v>
      </c>
      <c r="E11" s="61">
        <v>1850</v>
      </c>
      <c r="F11" s="62">
        <v>3</v>
      </c>
      <c r="G11" s="60" t="s">
        <v>390</v>
      </c>
      <c r="H11" s="64" t="str">
        <f>IF(tbCartoes[[#This Row],[📂 Categoria]]="","",SUBSTITUTE(tbCartoes[[#This Row],[📂 Categoria]]," ","_"))</f>
        <v>Transporte</v>
      </c>
      <c r="I11" s="273" t="str">
        <f>IF(A11="","",IF(COUNTIFS(tbParcelas6[Data_Compra],A11,tbParcelas6[Descrição],D11)&gt;0,"✅ Gerada","⚠️ Pendente"))</f>
        <v>✅ Gerada</v>
      </c>
    </row>
    <row r="12" spans="1:12">
      <c r="A12" s="55">
        <v>45728</v>
      </c>
      <c r="B12" s="56" t="s">
        <v>37</v>
      </c>
      <c r="C12" s="56" t="s">
        <v>38</v>
      </c>
      <c r="D12" s="56" t="s">
        <v>468</v>
      </c>
      <c r="E12" s="57">
        <v>650</v>
      </c>
      <c r="F12" s="58">
        <v>1</v>
      </c>
      <c r="G12" s="56" t="s">
        <v>392</v>
      </c>
      <c r="H12" s="63" t="str">
        <f>IF(tbCartoes[[#This Row],[📂 Categoria]]="","",SUBSTITUTE(tbCartoes[[#This Row],[📂 Categoria]]," ","_"))</f>
        <v>Alimentação</v>
      </c>
      <c r="I12" s="272" t="str">
        <f>IF(A12="","",IF(COUNTIFS(tbParcelas6[Data_Compra],A12,tbParcelas6[Descrição],D12)&gt;0,"✅ Gerada","⚠️ Pendente"))</f>
        <v>✅ Gerada</v>
      </c>
    </row>
    <row r="13" spans="1:12">
      <c r="A13" s="59">
        <v>45741</v>
      </c>
      <c r="B13" s="60" t="s">
        <v>23</v>
      </c>
      <c r="C13" s="60" t="s">
        <v>469</v>
      </c>
      <c r="D13" s="60" t="s">
        <v>470</v>
      </c>
      <c r="E13" s="61">
        <v>3200</v>
      </c>
      <c r="F13" s="62">
        <v>10</v>
      </c>
      <c r="G13" s="60" t="s">
        <v>391</v>
      </c>
      <c r="H13" s="64" t="str">
        <f>IF(tbCartoes[[#This Row],[📂 Categoria]]="","",SUBSTITUTE(tbCartoes[[#This Row],[📂 Categoria]]," ","_"))</f>
        <v>Habitação</v>
      </c>
      <c r="I13" s="273" t="str">
        <f>IF(A13="","",IF(COUNTIFS(tbParcelas6[Data_Compra],A13,tbParcelas6[Descrição],D13)&gt;0,"✅ Gerada","⚠️ Pendente"))</f>
        <v>✅ Gerada</v>
      </c>
    </row>
    <row r="14" spans="1:12">
      <c r="A14" s="55">
        <v>45755</v>
      </c>
      <c r="B14" s="56" t="s">
        <v>58</v>
      </c>
      <c r="C14" s="56" t="s">
        <v>60</v>
      </c>
      <c r="D14" s="56" t="s">
        <v>471</v>
      </c>
      <c r="E14" s="57">
        <v>590</v>
      </c>
      <c r="F14" s="58">
        <v>2</v>
      </c>
      <c r="G14" s="56" t="s">
        <v>390</v>
      </c>
      <c r="H14" s="63" t="str">
        <f>IF(tbCartoes[[#This Row],[📂 Categoria]]="","",SUBSTITUTE(tbCartoes[[#This Row],[📂 Categoria]]," ","_"))</f>
        <v>Vestuário</v>
      </c>
      <c r="I14" s="272" t="str">
        <f>IF(A14="","",IF(COUNTIFS(tbParcelas6[Data_Compra],A14,tbParcelas6[Descrição],D14)&gt;0,"✅ Gerada","⚠️ Pendente"))</f>
        <v>✅ Gerada</v>
      </c>
    </row>
    <row r="15" spans="1:12">
      <c r="A15" s="59">
        <v>45762</v>
      </c>
      <c r="B15" s="60" t="s">
        <v>62</v>
      </c>
      <c r="C15" s="60" t="s">
        <v>67</v>
      </c>
      <c r="D15" s="60" t="s">
        <v>472</v>
      </c>
      <c r="E15" s="61">
        <v>360</v>
      </c>
      <c r="F15" s="62">
        <v>1</v>
      </c>
      <c r="G15" s="60" t="s">
        <v>392</v>
      </c>
      <c r="H15" s="64" t="str">
        <f>IF(tbCartoes[[#This Row],[📂 Categoria]]="","",SUBSTITUTE(tbCartoes[[#This Row],[📂 Categoria]]," ","_"))</f>
        <v>Lazer</v>
      </c>
      <c r="I15" s="273" t="str">
        <f>IF(A15="","",IF(COUNTIFS(tbParcelas6[Data_Compra],A15,tbParcelas6[Descrição],D15)&gt;0,"✅ Gerada","⚠️ Pendente"))</f>
        <v>✅ Gerada</v>
      </c>
    </row>
    <row r="16" spans="1:12">
      <c r="A16" s="55">
        <v>45769</v>
      </c>
      <c r="B16" s="56" t="s">
        <v>54</v>
      </c>
      <c r="C16" s="56" t="s">
        <v>56</v>
      </c>
      <c r="D16" s="56" t="s">
        <v>473</v>
      </c>
      <c r="E16" s="57">
        <v>480</v>
      </c>
      <c r="F16" s="58">
        <v>2</v>
      </c>
      <c r="G16" s="56" t="s">
        <v>391</v>
      </c>
      <c r="H16" s="63" t="str">
        <f>IF(tbCartoes[[#This Row],[📂 Categoria]]="","",SUBSTITUTE(tbCartoes[[#This Row],[📂 Categoria]]," ","_"))</f>
        <v>Educação</v>
      </c>
      <c r="I16" s="272" t="str">
        <f>IF(A16="","",IF(COUNTIFS(tbParcelas6[Data_Compra],A16,tbParcelas6[Descrição],D16)&gt;0,"✅ Gerada","⚠️ Pendente"))</f>
        <v>✅ Gerada</v>
      </c>
    </row>
    <row r="17" spans="1:9">
      <c r="A17" s="59">
        <v>45787</v>
      </c>
      <c r="B17" s="60" t="s">
        <v>50</v>
      </c>
      <c r="C17" s="60" t="s">
        <v>52</v>
      </c>
      <c r="D17" s="60" t="s">
        <v>474</v>
      </c>
      <c r="E17" s="61">
        <v>320</v>
      </c>
      <c r="F17" s="62">
        <v>1</v>
      </c>
      <c r="G17" s="60" t="s">
        <v>390</v>
      </c>
      <c r="H17" s="64" t="str">
        <f>IF(tbCartoes[[#This Row],[📂 Categoria]]="","",SUBSTITUTE(tbCartoes[[#This Row],[📂 Categoria]]," ","_"))</f>
        <v>Saúde</v>
      </c>
      <c r="I17" s="273" t="str">
        <f>IF(A17="","",IF(COUNTIFS(tbParcelas6[Data_Compra],A17,tbParcelas6[Descrição],D17)&gt;0,"✅ Gerada","⚠️ Pendente"))</f>
        <v>✅ Gerada</v>
      </c>
    </row>
    <row r="18" spans="1:9">
      <c r="A18" s="55">
        <v>45789</v>
      </c>
      <c r="B18" s="56" t="s">
        <v>23</v>
      </c>
      <c r="C18" s="56" t="s">
        <v>32</v>
      </c>
      <c r="D18" s="56" t="s">
        <v>475</v>
      </c>
      <c r="E18" s="57">
        <v>1100</v>
      </c>
      <c r="F18" s="58">
        <v>3</v>
      </c>
      <c r="G18" s="56" t="s">
        <v>392</v>
      </c>
      <c r="H18" s="63" t="str">
        <f>IF(tbCartoes[[#This Row],[📂 Categoria]]="","",SUBSTITUTE(tbCartoes[[#This Row],[📂 Categoria]]," ","_"))</f>
        <v>Habitação</v>
      </c>
      <c r="I18" s="272" t="str">
        <f>IF(A18="","",IF(COUNTIFS(tbParcelas6[Data_Compra],A18,tbParcelas6[Descrição],D18)&gt;0,"✅ Gerada","⚠️ Pendente"))</f>
        <v>✅ Gerada</v>
      </c>
    </row>
    <row r="19" spans="1:9">
      <c r="A19" s="59">
        <v>45797</v>
      </c>
      <c r="B19" s="60" t="s">
        <v>62</v>
      </c>
      <c r="C19" s="60" t="s">
        <v>458</v>
      </c>
      <c r="D19" s="60" t="s">
        <v>476</v>
      </c>
      <c r="E19" s="61">
        <v>2400</v>
      </c>
      <c r="F19" s="62">
        <v>4</v>
      </c>
      <c r="G19" s="60" t="s">
        <v>391</v>
      </c>
      <c r="H19" s="64" t="str">
        <f>IF(tbCartoes[[#This Row],[📂 Categoria]]="","",SUBSTITUTE(tbCartoes[[#This Row],[📂 Categoria]]," ","_"))</f>
        <v>Lazer</v>
      </c>
      <c r="I19" s="273" t="str">
        <f>IF(A19="","",IF(COUNTIFS(tbParcelas6[Data_Compra],A19,tbParcelas6[Descrição],D19)&gt;0,"✅ Gerada","⚠️ Pendente"))</f>
        <v>✅ Gerada</v>
      </c>
    </row>
    <row r="20" spans="1:9">
      <c r="A20" s="55">
        <v>45813</v>
      </c>
      <c r="B20" s="56" t="s">
        <v>37</v>
      </c>
      <c r="C20" s="56" t="s">
        <v>434</v>
      </c>
      <c r="D20" s="56" t="s">
        <v>477</v>
      </c>
      <c r="E20" s="57">
        <v>280</v>
      </c>
      <c r="F20" s="58">
        <v>1</v>
      </c>
      <c r="G20" s="56" t="s">
        <v>390</v>
      </c>
      <c r="H20" s="63" t="str">
        <f>IF(tbCartoes[[#This Row],[📂 Categoria]]="","",SUBSTITUTE(tbCartoes[[#This Row],[📂 Categoria]]," ","_"))</f>
        <v>Alimentação</v>
      </c>
      <c r="I20" s="272" t="str">
        <f>IF(A20="","",IF(COUNTIFS(tbParcelas6[Data_Compra],A20,tbParcelas6[Descrição],D20)&gt;0,"✅ Gerada","⚠️ Pendente"))</f>
        <v>✅ Gerada</v>
      </c>
    </row>
    <row r="21" spans="1:9">
      <c r="A21" s="59">
        <v>45823</v>
      </c>
      <c r="B21" s="60" t="s">
        <v>44</v>
      </c>
      <c r="C21" s="60" t="s">
        <v>45</v>
      </c>
      <c r="D21" s="60" t="s">
        <v>478</v>
      </c>
      <c r="E21" s="61">
        <v>350</v>
      </c>
      <c r="F21" s="62">
        <v>1</v>
      </c>
      <c r="G21" s="60" t="s">
        <v>392</v>
      </c>
      <c r="H21" s="64" t="str">
        <f>IF(tbCartoes[[#This Row],[📂 Categoria]]="","",SUBSTITUTE(tbCartoes[[#This Row],[📂 Categoria]]," ","_"))</f>
        <v>Transporte</v>
      </c>
      <c r="I21" s="273" t="str">
        <f>IF(A21="","",IF(COUNTIFS(tbParcelas6[Data_Compra],A21,tbParcelas6[Descrição],D21)&gt;0,"✅ Gerada","⚠️ Pendente"))</f>
        <v>✅ Gerada</v>
      </c>
    </row>
    <row r="22" spans="1:9">
      <c r="A22" s="55">
        <v>45833</v>
      </c>
      <c r="B22" s="56" t="s">
        <v>73</v>
      </c>
      <c r="C22" s="56" t="s">
        <v>21</v>
      </c>
      <c r="D22" s="56" t="s">
        <v>479</v>
      </c>
      <c r="E22" s="57">
        <v>450</v>
      </c>
      <c r="F22" s="58">
        <v>2</v>
      </c>
      <c r="G22" s="56" t="s">
        <v>391</v>
      </c>
      <c r="H22" s="63" t="str">
        <f>IF(tbCartoes[[#This Row],[📂 Categoria]]="","",SUBSTITUTE(tbCartoes[[#This Row],[📂 Categoria]]," ","_"))</f>
        <v>Presentes</v>
      </c>
      <c r="I22" s="272" t="str">
        <f>IF(A22="","",IF(COUNTIFS(tbParcelas6[Data_Compra],A22,tbParcelas6[Descrição],D22)&gt;0,"✅ Gerada","⚠️ Pendente"))</f>
        <v>✅ Gerada</v>
      </c>
    </row>
    <row r="23" spans="1:9">
      <c r="A23" s="59">
        <v>45841</v>
      </c>
      <c r="B23" s="60" t="s">
        <v>62</v>
      </c>
      <c r="C23" s="60" t="s">
        <v>64</v>
      </c>
      <c r="D23" s="60" t="s">
        <v>480</v>
      </c>
      <c r="E23" s="61">
        <v>560</v>
      </c>
      <c r="F23" s="62">
        <v>2</v>
      </c>
      <c r="G23" s="60" t="s">
        <v>390</v>
      </c>
      <c r="H23" s="64" t="str">
        <f>IF(tbCartoes[[#This Row],[📂 Categoria]]="","",SUBSTITUTE(tbCartoes[[#This Row],[📂 Categoria]]," ","_"))</f>
        <v>Lazer</v>
      </c>
      <c r="I23" s="273" t="str">
        <f>IF(A23="","",IF(COUNTIFS(tbParcelas6[Data_Compra],A23,tbParcelas6[Descrição],D23)&gt;0,"✅ Gerada","⚠️ Pendente"))</f>
        <v>✅ Gerada</v>
      </c>
    </row>
    <row r="24" spans="1:9">
      <c r="A24" s="55">
        <v>45848</v>
      </c>
      <c r="B24" s="56" t="s">
        <v>37</v>
      </c>
      <c r="C24" s="56" t="s">
        <v>434</v>
      </c>
      <c r="D24" s="56" t="s">
        <v>481</v>
      </c>
      <c r="E24" s="57">
        <v>390</v>
      </c>
      <c r="F24" s="58">
        <v>1</v>
      </c>
      <c r="G24" s="56" t="s">
        <v>392</v>
      </c>
      <c r="H24" s="63" t="str">
        <f>IF(tbCartoes[[#This Row],[📂 Categoria]]="","",SUBSTITUTE(tbCartoes[[#This Row],[📂 Categoria]]," ","_"))</f>
        <v>Alimentação</v>
      </c>
      <c r="I24" s="272" t="str">
        <f>IF(A24="","",IF(COUNTIFS(tbParcelas6[Data_Compra],A24,tbParcelas6[Descrição],D24)&gt;0,"✅ Gerada","⚠️ Pendente"))</f>
        <v>✅ Gerada</v>
      </c>
    </row>
    <row r="25" spans="1:9">
      <c r="A25" s="59">
        <v>45856</v>
      </c>
      <c r="B25" s="60" t="s">
        <v>58</v>
      </c>
      <c r="C25" s="60" t="s">
        <v>59</v>
      </c>
      <c r="D25" s="60" t="s">
        <v>482</v>
      </c>
      <c r="E25" s="61">
        <v>720</v>
      </c>
      <c r="F25" s="62">
        <v>3</v>
      </c>
      <c r="G25" s="60" t="s">
        <v>391</v>
      </c>
      <c r="H25" s="64" t="str">
        <f>IF(tbCartoes[[#This Row],[📂 Categoria]]="","",SUBSTITUTE(tbCartoes[[#This Row],[📂 Categoria]]," ","_"))</f>
        <v>Vestuário</v>
      </c>
      <c r="I25" s="273" t="str">
        <f>IF(A25="","",IF(COUNTIFS(tbParcelas6[Data_Compra],A25,tbParcelas6[Descrição],D25)&gt;0,"✅ Gerada","⚠️ Pendente"))</f>
        <v>✅ Gerada</v>
      </c>
    </row>
    <row r="26" spans="1:9">
      <c r="A26" s="55">
        <v>45874</v>
      </c>
      <c r="B26" s="56" t="s">
        <v>54</v>
      </c>
      <c r="C26" s="56" t="s">
        <v>440</v>
      </c>
      <c r="D26" s="56" t="s">
        <v>483</v>
      </c>
      <c r="E26" s="57">
        <v>380</v>
      </c>
      <c r="F26" s="58">
        <v>1</v>
      </c>
      <c r="G26" s="56" t="s">
        <v>390</v>
      </c>
      <c r="H26" s="63" t="str">
        <f>IF(tbCartoes[[#This Row],[📂 Categoria]]="","",SUBSTITUTE(tbCartoes[[#This Row],[📂 Categoria]]," ","_"))</f>
        <v>Educação</v>
      </c>
      <c r="I26" s="272" t="str">
        <f>IF(A26="","",IF(COUNTIFS(tbParcelas6[Data_Compra],A26,tbParcelas6[Descrição],D26)&gt;0,"✅ Gerada","⚠️ Pendente"))</f>
        <v>✅ Gerada</v>
      </c>
    </row>
    <row r="27" spans="1:9">
      <c r="A27" s="59">
        <v>45881</v>
      </c>
      <c r="B27" s="60" t="s">
        <v>50</v>
      </c>
      <c r="C27" s="60" t="s">
        <v>465</v>
      </c>
      <c r="D27" s="60" t="s">
        <v>484</v>
      </c>
      <c r="E27" s="61">
        <v>890</v>
      </c>
      <c r="F27" s="62">
        <v>2</v>
      </c>
      <c r="G27" s="60" t="s">
        <v>392</v>
      </c>
      <c r="H27" s="64" t="str">
        <f>IF(tbCartoes[[#This Row],[📂 Categoria]]="","",SUBSTITUTE(tbCartoes[[#This Row],[📂 Categoria]]," ","_"))</f>
        <v>Saúde</v>
      </c>
      <c r="I27" s="273" t="str">
        <f>IF(A27="","",IF(COUNTIFS(tbParcelas6[Data_Compra],A27,tbParcelas6[Descrição],D27)&gt;0,"✅ Gerada","⚠️ Pendente"))</f>
        <v>✅ Gerada</v>
      </c>
    </row>
    <row r="28" spans="1:9">
      <c r="A28" s="55">
        <v>45889</v>
      </c>
      <c r="B28" s="56" t="s">
        <v>23</v>
      </c>
      <c r="C28" s="56" t="s">
        <v>32</v>
      </c>
      <c r="D28" s="56" t="s">
        <v>485</v>
      </c>
      <c r="E28" s="57">
        <v>650</v>
      </c>
      <c r="F28" s="58">
        <v>2</v>
      </c>
      <c r="G28" s="56" t="s">
        <v>391</v>
      </c>
      <c r="H28" s="63" t="str">
        <f>IF(tbCartoes[[#This Row],[📂 Categoria]]="","",SUBSTITUTE(tbCartoes[[#This Row],[📂 Categoria]]," ","_"))</f>
        <v>Habitação</v>
      </c>
      <c r="I28" s="272" t="str">
        <f>IF(A28="","",IF(COUNTIFS(tbParcelas6[Data_Compra],A28,tbParcelas6[Descrição],D28)&gt;0,"✅ Gerada","⚠️ Pendente"))</f>
        <v>✅ Gerada</v>
      </c>
    </row>
    <row r="29" spans="1:9">
      <c r="A29" s="59">
        <v>45907</v>
      </c>
      <c r="B29" s="60" t="s">
        <v>62</v>
      </c>
      <c r="C29" s="60" t="s">
        <v>64</v>
      </c>
      <c r="D29" s="60" t="s">
        <v>486</v>
      </c>
      <c r="E29" s="61">
        <v>220</v>
      </c>
      <c r="F29" s="62">
        <v>1</v>
      </c>
      <c r="G29" s="60" t="s">
        <v>390</v>
      </c>
      <c r="H29" s="64" t="str">
        <f>IF(tbCartoes[[#This Row],[📂 Categoria]]="","",SUBSTITUTE(tbCartoes[[#This Row],[📂 Categoria]]," ","_"))</f>
        <v>Lazer</v>
      </c>
      <c r="I29" s="273" t="str">
        <f>IF(A29="","",IF(COUNTIFS(tbParcelas6[Data_Compra],A29,tbParcelas6[Descrição],D29)&gt;0,"✅ Gerada","⚠️ Pendente"))</f>
        <v>✅ Gerada</v>
      </c>
    </row>
    <row r="30" spans="1:9">
      <c r="A30" s="55">
        <v>45915</v>
      </c>
      <c r="B30" s="56" t="s">
        <v>44</v>
      </c>
      <c r="C30" s="56" t="s">
        <v>48</v>
      </c>
      <c r="D30" s="56" t="s">
        <v>487</v>
      </c>
      <c r="E30" s="57">
        <v>1600</v>
      </c>
      <c r="F30" s="58">
        <v>4</v>
      </c>
      <c r="G30" s="56" t="s">
        <v>392</v>
      </c>
      <c r="H30" s="63" t="str">
        <f>IF(tbCartoes[[#This Row],[📂 Categoria]]="","",SUBSTITUTE(tbCartoes[[#This Row],[📂 Categoria]]," ","_"))</f>
        <v>Transporte</v>
      </c>
      <c r="I30" s="272" t="str">
        <f>IF(A30="","",IF(COUNTIFS(tbParcelas6[Data_Compra],A30,tbParcelas6[Descrição],D30)&gt;0,"✅ Gerada","⚠️ Pendente"))</f>
        <v>✅ Gerada</v>
      </c>
    </row>
    <row r="31" spans="1:9">
      <c r="A31" s="59">
        <v>45922</v>
      </c>
      <c r="B31" s="60" t="s">
        <v>37</v>
      </c>
      <c r="C31" s="60" t="s">
        <v>38</v>
      </c>
      <c r="D31" s="60" t="s">
        <v>488</v>
      </c>
      <c r="E31" s="61">
        <v>450</v>
      </c>
      <c r="F31" s="62">
        <v>1</v>
      </c>
      <c r="G31" s="60" t="s">
        <v>391</v>
      </c>
      <c r="H31" s="64" t="str">
        <f>IF(tbCartoes[[#This Row],[📂 Categoria]]="","",SUBSTITUTE(tbCartoes[[#This Row],[📂 Categoria]]," ","_"))</f>
        <v>Alimentação</v>
      </c>
      <c r="I31" s="273" t="str">
        <f>IF(A31="","",IF(COUNTIFS(tbParcelas6[Data_Compra],A31,tbParcelas6[Descrição],D31)&gt;0,"✅ Gerada","⚠️ Pendente"))</f>
        <v>✅ Gerada</v>
      </c>
    </row>
    <row r="32" spans="1:9">
      <c r="A32" s="55">
        <v>45935</v>
      </c>
      <c r="B32" s="56" t="s">
        <v>58</v>
      </c>
      <c r="C32" s="56" t="s">
        <v>59</v>
      </c>
      <c r="D32" s="56" t="s">
        <v>489</v>
      </c>
      <c r="E32" s="57">
        <v>480</v>
      </c>
      <c r="F32" s="58">
        <v>2</v>
      </c>
      <c r="G32" s="56" t="s">
        <v>390</v>
      </c>
      <c r="H32" s="63" t="str">
        <f>IF(tbCartoes[[#This Row],[📂 Categoria]]="","",SUBSTITUTE(tbCartoes[[#This Row],[📂 Categoria]]," ","_"))</f>
        <v>Vestuário</v>
      </c>
      <c r="I32" s="272" t="str">
        <f>IF(A32="","",IF(COUNTIFS(tbParcelas6[Data_Compra],A32,tbParcelas6[Descrição],D32)&gt;0,"✅ Gerada","⚠️ Pendente"))</f>
        <v>✅ Gerada</v>
      </c>
    </row>
    <row r="33" spans="1:9">
      <c r="A33" s="59">
        <v>45942</v>
      </c>
      <c r="B33" s="60" t="s">
        <v>73</v>
      </c>
      <c r="C33" s="60" t="s">
        <v>21</v>
      </c>
      <c r="D33" s="60" t="s">
        <v>490</v>
      </c>
      <c r="E33" s="61">
        <v>350</v>
      </c>
      <c r="F33" s="62">
        <v>1</v>
      </c>
      <c r="G33" s="60" t="s">
        <v>392</v>
      </c>
      <c r="H33" s="64" t="str">
        <f>IF(tbCartoes[[#This Row],[📂 Categoria]]="","",SUBSTITUTE(tbCartoes[[#This Row],[📂 Categoria]]," ","_"))</f>
        <v>Presentes</v>
      </c>
      <c r="I33" s="273" t="str">
        <f>IF(A33="","",IF(COUNTIFS(tbParcelas6[Data_Compra],A33,tbParcelas6[Descrição],D33)&gt;0,"✅ Gerada","⚠️ Pendente"))</f>
        <v>✅ Gerada</v>
      </c>
    </row>
    <row r="34" spans="1:9">
      <c r="A34" s="55">
        <v>45955</v>
      </c>
      <c r="B34" s="56" t="s">
        <v>23</v>
      </c>
      <c r="C34" s="56" t="s">
        <v>460</v>
      </c>
      <c r="D34" s="56" t="s">
        <v>491</v>
      </c>
      <c r="E34" s="57">
        <v>890</v>
      </c>
      <c r="F34" s="58">
        <v>3</v>
      </c>
      <c r="G34" s="56" t="s">
        <v>391</v>
      </c>
      <c r="H34" s="63" t="str">
        <f>IF(tbCartoes[[#This Row],[📂 Categoria]]="","",SUBSTITUTE(tbCartoes[[#This Row],[📂 Categoria]]," ","_"))</f>
        <v>Habitação</v>
      </c>
      <c r="I34" s="272" t="str">
        <f>IF(A34="","",IF(COUNTIFS(tbParcelas6[Data_Compra],A34,tbParcelas6[Descrição],D34)&gt;0,"✅ Gerada","⚠️ Pendente"))</f>
        <v>✅ Gerada</v>
      </c>
    </row>
    <row r="35" spans="1:9">
      <c r="A35" s="59">
        <v>45969</v>
      </c>
      <c r="B35" s="60" t="s">
        <v>62</v>
      </c>
      <c r="C35" s="60" t="s">
        <v>458</v>
      </c>
      <c r="D35" s="60" t="s">
        <v>492</v>
      </c>
      <c r="E35" s="61">
        <v>1800</v>
      </c>
      <c r="F35" s="62">
        <v>3</v>
      </c>
      <c r="G35" s="60" t="s">
        <v>390</v>
      </c>
      <c r="H35" s="64" t="str">
        <f>IF(tbCartoes[[#This Row],[📂 Categoria]]="","",SUBSTITUTE(tbCartoes[[#This Row],[📂 Categoria]]," ","_"))</f>
        <v>Lazer</v>
      </c>
      <c r="I35" s="273" t="str">
        <f>IF(A35="","",IF(COUNTIFS(tbParcelas6[Data_Compra],A35,tbParcelas6[Descrição],D35)&gt;0,"✅ Gerada","⚠️ Pendente"))</f>
        <v>✅ Gerada</v>
      </c>
    </row>
    <row r="36" spans="1:9">
      <c r="A36" s="55">
        <v>45976</v>
      </c>
      <c r="B36" s="56" t="s">
        <v>37</v>
      </c>
      <c r="C36" s="56" t="s">
        <v>434</v>
      </c>
      <c r="D36" s="56" t="s">
        <v>493</v>
      </c>
      <c r="E36" s="57">
        <v>320</v>
      </c>
      <c r="F36" s="58">
        <v>1</v>
      </c>
      <c r="G36" s="56" t="s">
        <v>392</v>
      </c>
      <c r="H36" s="63" t="str">
        <f>IF(tbCartoes[[#This Row],[📂 Categoria]]="","",SUBSTITUTE(tbCartoes[[#This Row],[📂 Categoria]]," ","_"))</f>
        <v>Alimentação</v>
      </c>
      <c r="I36" s="272" t="str">
        <f>IF(A36="","",IF(COUNTIFS(tbParcelas6[Data_Compra],A36,tbParcelas6[Descrição],D36)&gt;0,"✅ Gerada","⚠️ Pendente"))</f>
        <v>✅ Gerada</v>
      </c>
    </row>
    <row r="37" spans="1:9">
      <c r="A37" s="59">
        <v>45986</v>
      </c>
      <c r="B37" s="60" t="s">
        <v>73</v>
      </c>
      <c r="C37" s="60" t="s">
        <v>21</v>
      </c>
      <c r="D37" s="60" t="s">
        <v>494</v>
      </c>
      <c r="E37" s="61">
        <v>1500</v>
      </c>
      <c r="F37" s="62">
        <v>5</v>
      </c>
      <c r="G37" s="60" t="s">
        <v>391</v>
      </c>
      <c r="H37" s="64" t="str">
        <f>IF(tbCartoes[[#This Row],[📂 Categoria]]="","",SUBSTITUTE(tbCartoes[[#This Row],[📂 Categoria]]," ","_"))</f>
        <v>Presentes</v>
      </c>
      <c r="I37" s="273" t="str">
        <f>IF(A37="","",IF(COUNTIFS(tbParcelas6[Data_Compra],A37,tbParcelas6[Descrição],D37)&gt;0,"✅ Gerada","⚠️ Pendente"))</f>
        <v>✅ Gerada</v>
      </c>
    </row>
    <row r="38" spans="1:9">
      <c r="A38" s="55">
        <v>45996</v>
      </c>
      <c r="B38" s="56" t="s">
        <v>73</v>
      </c>
      <c r="C38" s="56" t="s">
        <v>21</v>
      </c>
      <c r="D38" s="56" t="s">
        <v>495</v>
      </c>
      <c r="E38" s="57">
        <v>1200</v>
      </c>
      <c r="F38" s="58">
        <v>3</v>
      </c>
      <c r="G38" s="56" t="s">
        <v>390</v>
      </c>
      <c r="H38" s="63" t="str">
        <f>IF(tbCartoes[[#This Row],[📂 Categoria]]="","",SUBSTITUTE(tbCartoes[[#This Row],[📂 Categoria]]," ","_"))</f>
        <v>Presentes</v>
      </c>
      <c r="I38" s="272" t="str">
        <f>IF(A38="","",IF(COUNTIFS(tbParcelas6[Data_Compra],A38,tbParcelas6[Descrição],D38)&gt;0,"✅ Gerada","⚠️ Pendente"))</f>
        <v>✅ Gerada</v>
      </c>
    </row>
    <row r="39" spans="1:9">
      <c r="A39" s="59">
        <v>46001</v>
      </c>
      <c r="B39" s="60" t="s">
        <v>37</v>
      </c>
      <c r="C39" s="60" t="s">
        <v>38</v>
      </c>
      <c r="D39" s="60" t="s">
        <v>496</v>
      </c>
      <c r="E39" s="61">
        <v>580</v>
      </c>
      <c r="F39" s="62">
        <v>1</v>
      </c>
      <c r="G39" s="60" t="s">
        <v>392</v>
      </c>
      <c r="H39" s="64" t="str">
        <f>IF(tbCartoes[[#This Row],[📂 Categoria]]="","",SUBSTITUTE(tbCartoes[[#This Row],[📂 Categoria]]," ","_"))</f>
        <v>Alimentação</v>
      </c>
      <c r="I39" s="273" t="str">
        <f>IF(A39="","",IF(COUNTIFS(tbParcelas6[Data_Compra],A39,tbParcelas6[Descrição],D39)&gt;0,"✅ Gerada","⚠️ Pendente"))</f>
        <v>✅ Gerada</v>
      </c>
    </row>
    <row r="40" spans="1:9">
      <c r="A40" s="55">
        <v>46011</v>
      </c>
      <c r="B40" s="56" t="s">
        <v>62</v>
      </c>
      <c r="C40" s="56" t="s">
        <v>64</v>
      </c>
      <c r="D40" s="56" t="s">
        <v>497</v>
      </c>
      <c r="E40" s="57">
        <v>450</v>
      </c>
      <c r="F40" s="58">
        <v>2</v>
      </c>
      <c r="G40" s="56" t="s">
        <v>391</v>
      </c>
      <c r="H40" s="63" t="str">
        <f>IF(tbCartoes[[#This Row],[📂 Categoria]]="","",SUBSTITUTE(tbCartoes[[#This Row],[📂 Categoria]]," ","_"))</f>
        <v>Lazer</v>
      </c>
      <c r="I40" s="272" t="str">
        <f>IF(A40="","",IF(COUNTIFS(tbParcelas6[Data_Compra],A40,tbParcelas6[Descrição],D40)&gt;0,"✅ Gerada","⚠️ Pendente"))</f>
        <v>✅ Gerada</v>
      </c>
    </row>
    <row r="41" spans="1:9">
      <c r="A41" s="59"/>
      <c r="B41" s="60"/>
      <c r="C41" s="60"/>
      <c r="D41" s="60"/>
      <c r="E41" s="61"/>
      <c r="F41" s="62"/>
      <c r="G41" s="60"/>
      <c r="H41" s="64" t="str">
        <f>IF(tbCartoes[[#This Row],[📂 Categoria]]="","",SUBSTITUTE(tbCartoes[[#This Row],[📂 Categoria]]," ","_"))</f>
        <v/>
      </c>
      <c r="I41" s="273"/>
    </row>
    <row r="42" spans="1:9">
      <c r="A42" s="55"/>
      <c r="B42" s="56"/>
      <c r="C42" s="56"/>
      <c r="D42" s="56"/>
      <c r="E42" s="57"/>
      <c r="F42" s="58"/>
      <c r="G42" s="56"/>
      <c r="H42" s="63" t="str">
        <f>IF(tbCartoes[[#This Row],[📂 Categoria]]="","",SUBSTITUTE(tbCartoes[[#This Row],[📂 Categoria]]," ","_"))</f>
        <v/>
      </c>
      <c r="I42" s="272"/>
    </row>
    <row r="43" spans="1:9">
      <c r="A43" s="59"/>
      <c r="B43" s="60"/>
      <c r="C43" s="60"/>
      <c r="D43" s="60"/>
      <c r="E43" s="61"/>
      <c r="F43" s="62"/>
      <c r="G43" s="60"/>
      <c r="H43" s="64" t="str">
        <f>IF(tbCartoes[[#This Row],[📂 Categoria]]="","",SUBSTITUTE(tbCartoes[[#This Row],[📂 Categoria]]," ","_"))</f>
        <v/>
      </c>
      <c r="I43" s="273"/>
    </row>
    <row r="44" spans="1:9">
      <c r="A44" s="55"/>
      <c r="B44" s="56"/>
      <c r="C44" s="56"/>
      <c r="D44" s="56"/>
      <c r="E44" s="57"/>
      <c r="F44" s="58"/>
      <c r="G44" s="56"/>
      <c r="H44" s="63" t="str">
        <f>IF(tbCartoes[[#This Row],[📂 Categoria]]="","",SUBSTITUTE(tbCartoes[[#This Row],[📂 Categoria]]," ","_"))</f>
        <v/>
      </c>
      <c r="I44" s="272"/>
    </row>
    <row r="45" spans="1:9">
      <c r="A45" s="59"/>
      <c r="B45" s="60"/>
      <c r="C45" s="60"/>
      <c r="D45" s="60"/>
      <c r="E45" s="61"/>
      <c r="F45" s="62"/>
      <c r="G45" s="60"/>
      <c r="H45" s="64" t="str">
        <f>IF(tbCartoes[[#This Row],[📂 Categoria]]="","",SUBSTITUTE(tbCartoes[[#This Row],[📂 Categoria]]," ","_"))</f>
        <v/>
      </c>
      <c r="I45" s="273"/>
    </row>
    <row r="46" spans="1:9">
      <c r="A46" s="55"/>
      <c r="B46" s="56"/>
      <c r="C46" s="56"/>
      <c r="D46" s="56"/>
      <c r="E46" s="57"/>
      <c r="F46" s="58"/>
      <c r="G46" s="56"/>
      <c r="H46" s="63" t="str">
        <f>IF(tbCartoes[[#This Row],[📂 Categoria]]="","",SUBSTITUTE(tbCartoes[[#This Row],[📂 Categoria]]," ","_"))</f>
        <v/>
      </c>
      <c r="I46" s="272"/>
    </row>
    <row r="47" spans="1:9">
      <c r="A47" s="59"/>
      <c r="B47" s="60"/>
      <c r="C47" s="60"/>
      <c r="D47" s="60"/>
      <c r="E47" s="61"/>
      <c r="F47" s="62"/>
      <c r="G47" s="60"/>
      <c r="H47" s="64" t="str">
        <f>IF(tbCartoes[[#This Row],[📂 Categoria]]="","",SUBSTITUTE(tbCartoes[[#This Row],[📂 Categoria]]," ","_"))</f>
        <v/>
      </c>
      <c r="I47" s="273"/>
    </row>
    <row r="48" spans="1:9">
      <c r="A48" s="55"/>
      <c r="B48" s="56"/>
      <c r="C48" s="56"/>
      <c r="D48" s="56"/>
      <c r="E48" s="57"/>
      <c r="F48" s="58"/>
      <c r="G48" s="56"/>
      <c r="H48" s="63" t="str">
        <f>IF(tbCartoes[[#This Row],[📂 Categoria]]="","",SUBSTITUTE(tbCartoes[[#This Row],[📂 Categoria]]," ","_"))</f>
        <v/>
      </c>
      <c r="I48" s="272"/>
    </row>
    <row r="49" spans="1:9">
      <c r="A49" s="59"/>
      <c r="B49" s="60"/>
      <c r="C49" s="60"/>
      <c r="D49" s="60"/>
      <c r="E49" s="61"/>
      <c r="F49" s="62"/>
      <c r="G49" s="60"/>
      <c r="H49" s="64" t="str">
        <f>IF(tbCartoes[[#This Row],[📂 Categoria]]="","",SUBSTITUTE(tbCartoes[[#This Row],[📂 Categoria]]," ","_"))</f>
        <v/>
      </c>
      <c r="I49" s="273"/>
    </row>
    <row r="50" spans="1:9">
      <c r="A50" s="55"/>
      <c r="B50" s="56"/>
      <c r="C50" s="56"/>
      <c r="D50" s="56"/>
      <c r="E50" s="57"/>
      <c r="F50" s="58"/>
      <c r="G50" s="56"/>
      <c r="H50" s="63" t="str">
        <f>IF(tbCartoes[[#This Row],[📂 Categoria]]="","",SUBSTITUTE(tbCartoes[[#This Row],[📂 Categoria]]," ","_"))</f>
        <v/>
      </c>
      <c r="I50" s="272"/>
    </row>
    <row r="51" spans="1:9">
      <c r="A51" s="59"/>
      <c r="B51" s="60"/>
      <c r="C51" s="60"/>
      <c r="D51" s="60"/>
      <c r="E51" s="61"/>
      <c r="F51" s="62"/>
      <c r="G51" s="60"/>
      <c r="H51" s="64" t="str">
        <f>IF(tbCartoes[[#This Row],[📂 Categoria]]="","",SUBSTITUTE(tbCartoes[[#This Row],[📂 Categoria]]," ","_"))</f>
        <v/>
      </c>
      <c r="I51" s="273"/>
    </row>
    <row r="52" spans="1:9">
      <c r="A52" s="55"/>
      <c r="B52" s="56"/>
      <c r="C52" s="56"/>
      <c r="D52" s="56"/>
      <c r="E52" s="57"/>
      <c r="F52" s="58"/>
      <c r="G52" s="56"/>
      <c r="H52" s="63" t="str">
        <f>IF(tbCartoes[[#This Row],[📂 Categoria]]="","",SUBSTITUTE(tbCartoes[[#This Row],[📂 Categoria]]," ","_"))</f>
        <v/>
      </c>
      <c r="I52" s="272"/>
    </row>
    <row r="53" spans="1:9">
      <c r="A53" s="59"/>
      <c r="B53" s="60"/>
      <c r="C53" s="60"/>
      <c r="D53" s="60"/>
      <c r="E53" s="61"/>
      <c r="F53" s="62"/>
      <c r="G53" s="60"/>
      <c r="H53" s="64" t="str">
        <f>IF(tbCartoes[[#This Row],[📂 Categoria]]="","",SUBSTITUTE(tbCartoes[[#This Row],[📂 Categoria]]," ","_"))</f>
        <v/>
      </c>
      <c r="I53" s="273"/>
    </row>
    <row r="54" spans="1:9">
      <c r="A54" s="55"/>
      <c r="B54" s="56"/>
      <c r="C54" s="56"/>
      <c r="D54" s="56"/>
      <c r="E54" s="57"/>
      <c r="F54" s="58"/>
      <c r="G54" s="56"/>
      <c r="H54" s="63" t="str">
        <f>IF(tbCartoes[[#This Row],[📂 Categoria]]="","",SUBSTITUTE(tbCartoes[[#This Row],[📂 Categoria]]," ","_"))</f>
        <v/>
      </c>
      <c r="I54" s="272"/>
    </row>
    <row r="55" spans="1:9">
      <c r="A55" s="59"/>
      <c r="B55" s="60"/>
      <c r="C55" s="60"/>
      <c r="D55" s="60"/>
      <c r="E55" s="61"/>
      <c r="F55" s="62"/>
      <c r="G55" s="60"/>
      <c r="H55" s="64" t="str">
        <f>IF(tbCartoes[[#This Row],[📂 Categoria]]="","",SUBSTITUTE(tbCartoes[[#This Row],[📂 Categoria]]," ","_"))</f>
        <v/>
      </c>
      <c r="I55" s="273"/>
    </row>
    <row r="56" spans="1:9">
      <c r="A56" s="55"/>
      <c r="B56" s="56"/>
      <c r="C56" s="56"/>
      <c r="D56" s="56"/>
      <c r="E56" s="57"/>
      <c r="F56" s="58"/>
      <c r="G56" s="56"/>
      <c r="H56" s="63" t="str">
        <f>IF(tbCartoes[[#This Row],[📂 Categoria]]="","",SUBSTITUTE(tbCartoes[[#This Row],[📂 Categoria]]," ","_"))</f>
        <v/>
      </c>
      <c r="I56" s="272"/>
    </row>
    <row r="57" spans="1:9">
      <c r="A57" s="59"/>
      <c r="B57" s="60"/>
      <c r="C57" s="60"/>
      <c r="D57" s="60"/>
      <c r="E57" s="61"/>
      <c r="F57" s="62"/>
      <c r="G57" s="60"/>
      <c r="H57" s="64" t="str">
        <f>IF(tbCartoes[[#This Row],[📂 Categoria]]="","",SUBSTITUTE(tbCartoes[[#This Row],[📂 Categoria]]," ","_"))</f>
        <v/>
      </c>
      <c r="I57" s="273"/>
    </row>
    <row r="58" spans="1:9">
      <c r="A58" s="55"/>
      <c r="B58" s="56"/>
      <c r="C58" s="56"/>
      <c r="D58" s="56"/>
      <c r="E58" s="57"/>
      <c r="F58" s="58"/>
      <c r="G58" s="56"/>
      <c r="H58" s="63" t="str">
        <f>IF(tbCartoes[[#This Row],[📂 Categoria]]="","",SUBSTITUTE(tbCartoes[[#This Row],[📂 Categoria]]," ","_"))</f>
        <v/>
      </c>
      <c r="I58" s="272"/>
    </row>
    <row r="59" spans="1:9">
      <c r="A59" s="59"/>
      <c r="B59" s="60"/>
      <c r="C59" s="60"/>
      <c r="D59" s="60"/>
      <c r="E59" s="61"/>
      <c r="F59" s="62"/>
      <c r="G59" s="60"/>
      <c r="H59" s="64" t="str">
        <f>IF(tbCartoes[[#This Row],[📂 Categoria]]="","",SUBSTITUTE(tbCartoes[[#This Row],[📂 Categoria]]," ","_"))</f>
        <v/>
      </c>
      <c r="I59" s="273"/>
    </row>
    <row r="60" spans="1:9">
      <c r="A60" s="55"/>
      <c r="B60" s="56"/>
      <c r="C60" s="56"/>
      <c r="D60" s="56"/>
      <c r="E60" s="57"/>
      <c r="F60" s="58"/>
      <c r="G60" s="56"/>
      <c r="H60" s="63" t="str">
        <f>IF(tbCartoes[[#This Row],[📂 Categoria]]="","",SUBSTITUTE(tbCartoes[[#This Row],[📂 Categoria]]," ","_"))</f>
        <v/>
      </c>
      <c r="I60" s="272"/>
    </row>
    <row r="61" spans="1:9">
      <c r="A61" s="59"/>
      <c r="B61" s="60"/>
      <c r="C61" s="60"/>
      <c r="D61" s="60"/>
      <c r="E61" s="61"/>
      <c r="F61" s="62"/>
      <c r="G61" s="60"/>
      <c r="H61" s="64" t="str">
        <f>IF(tbCartoes[[#This Row],[📂 Categoria]]="","",SUBSTITUTE(tbCartoes[[#This Row],[📂 Categoria]]," ","_"))</f>
        <v/>
      </c>
      <c r="I61" s="273"/>
    </row>
    <row r="62" spans="1:9">
      <c r="A62" s="55"/>
      <c r="B62" s="56"/>
      <c r="C62" s="56"/>
      <c r="D62" s="56"/>
      <c r="E62" s="57"/>
      <c r="F62" s="58"/>
      <c r="G62" s="56"/>
      <c r="H62" s="63" t="str">
        <f>IF(tbCartoes[[#This Row],[📂 Categoria]]="","",SUBSTITUTE(tbCartoes[[#This Row],[📂 Categoria]]," ","_"))</f>
        <v/>
      </c>
      <c r="I62" s="272"/>
    </row>
    <row r="63" spans="1:9">
      <c r="A63" s="59"/>
      <c r="B63" s="60"/>
      <c r="C63" s="60"/>
      <c r="D63" s="60"/>
      <c r="E63" s="61"/>
      <c r="F63" s="62"/>
      <c r="G63" s="60"/>
      <c r="H63" s="64" t="str">
        <f>IF(tbCartoes[[#This Row],[📂 Categoria]]="","",SUBSTITUTE(tbCartoes[[#This Row],[📂 Categoria]]," ","_"))</f>
        <v/>
      </c>
      <c r="I63" s="273"/>
    </row>
    <row r="64" spans="1:9">
      <c r="A64" s="55"/>
      <c r="B64" s="56"/>
      <c r="C64" s="56"/>
      <c r="D64" s="56"/>
      <c r="E64" s="57"/>
      <c r="F64" s="58"/>
      <c r="G64" s="56"/>
      <c r="H64" s="63" t="str">
        <f>IF(tbCartoes[[#This Row],[📂 Categoria]]="","",SUBSTITUTE(tbCartoes[[#This Row],[📂 Categoria]]," ","_"))</f>
        <v/>
      </c>
      <c r="I64" s="272"/>
    </row>
    <row r="65" spans="1:9">
      <c r="A65" s="59"/>
      <c r="B65" s="60"/>
      <c r="C65" s="60"/>
      <c r="D65" s="60"/>
      <c r="E65" s="61"/>
      <c r="F65" s="62"/>
      <c r="G65" s="60"/>
      <c r="H65" s="64" t="str">
        <f>IF(tbCartoes[[#This Row],[📂 Categoria]]="","",SUBSTITUTE(tbCartoes[[#This Row],[📂 Categoria]]," ","_"))</f>
        <v/>
      </c>
      <c r="I65" s="273"/>
    </row>
    <row r="66" spans="1:9">
      <c r="A66" s="55"/>
      <c r="B66" s="56"/>
      <c r="C66" s="56"/>
      <c r="D66" s="56"/>
      <c r="E66" s="57"/>
      <c r="F66" s="58"/>
      <c r="G66" s="56"/>
      <c r="H66" s="63" t="str">
        <f>IF(tbCartoes[[#This Row],[📂 Categoria]]="","",SUBSTITUTE(tbCartoes[[#This Row],[📂 Categoria]]," ","_"))</f>
        <v/>
      </c>
      <c r="I66" s="272"/>
    </row>
    <row r="67" spans="1:9">
      <c r="A67" s="59"/>
      <c r="B67" s="60"/>
      <c r="C67" s="60"/>
      <c r="D67" s="60"/>
      <c r="E67" s="61"/>
      <c r="F67" s="62"/>
      <c r="G67" s="60"/>
      <c r="H67" s="64" t="str">
        <f>IF(tbCartoes[[#This Row],[📂 Categoria]]="","",SUBSTITUTE(tbCartoes[[#This Row],[📂 Categoria]]," ","_"))</f>
        <v/>
      </c>
      <c r="I67" s="273"/>
    </row>
    <row r="68" spans="1:9">
      <c r="A68" s="55"/>
      <c r="B68" s="56"/>
      <c r="C68" s="56"/>
      <c r="D68" s="56"/>
      <c r="E68" s="57"/>
      <c r="F68" s="58"/>
      <c r="G68" s="56"/>
      <c r="H68" s="63" t="str">
        <f>IF(tbCartoes[[#This Row],[📂 Categoria]]="","",SUBSTITUTE(tbCartoes[[#This Row],[📂 Categoria]]," ","_"))</f>
        <v/>
      </c>
      <c r="I68" s="272"/>
    </row>
    <row r="69" spans="1:9">
      <c r="A69" s="59"/>
      <c r="B69" s="60"/>
      <c r="C69" s="60"/>
      <c r="D69" s="60"/>
      <c r="E69" s="61"/>
      <c r="F69" s="62"/>
      <c r="G69" s="60"/>
      <c r="H69" s="64" t="str">
        <f>IF(tbCartoes[[#This Row],[📂 Categoria]]="","",SUBSTITUTE(tbCartoes[[#This Row],[📂 Categoria]]," ","_"))</f>
        <v/>
      </c>
      <c r="I69" s="273"/>
    </row>
    <row r="70" spans="1:9">
      <c r="A70" s="55"/>
      <c r="B70" s="56"/>
      <c r="C70" s="56"/>
      <c r="D70" s="56"/>
      <c r="E70" s="57"/>
      <c r="F70" s="58"/>
      <c r="G70" s="56"/>
      <c r="H70" s="63" t="str">
        <f>IF(tbCartoes[[#This Row],[📂 Categoria]]="","",SUBSTITUTE(tbCartoes[[#This Row],[📂 Categoria]]," ","_"))</f>
        <v/>
      </c>
      <c r="I70" s="272"/>
    </row>
    <row r="71" spans="1:9">
      <c r="A71" s="59"/>
      <c r="B71" s="60"/>
      <c r="C71" s="60"/>
      <c r="D71" s="60"/>
      <c r="E71" s="61"/>
      <c r="F71" s="62"/>
      <c r="G71" s="60"/>
      <c r="H71" s="64" t="str">
        <f>IF(tbCartoes[[#This Row],[📂 Categoria]]="","",SUBSTITUTE(tbCartoes[[#This Row],[📂 Categoria]]," ","_"))</f>
        <v/>
      </c>
      <c r="I71" s="273"/>
    </row>
    <row r="72" spans="1:9">
      <c r="A72" s="55"/>
      <c r="B72" s="56"/>
      <c r="C72" s="56"/>
      <c r="D72" s="56"/>
      <c r="E72" s="57"/>
      <c r="F72" s="58"/>
      <c r="G72" s="56"/>
      <c r="H72" s="63" t="str">
        <f>IF(tbCartoes[[#This Row],[📂 Categoria]]="","",SUBSTITUTE(tbCartoes[[#This Row],[📂 Categoria]]," ","_"))</f>
        <v/>
      </c>
      <c r="I72" s="272"/>
    </row>
    <row r="73" spans="1:9">
      <c r="A73" s="59"/>
      <c r="B73" s="60"/>
      <c r="C73" s="60"/>
      <c r="D73" s="60"/>
      <c r="E73" s="61"/>
      <c r="F73" s="62"/>
      <c r="G73" s="60"/>
      <c r="H73" s="64" t="str">
        <f>IF(tbCartoes[[#This Row],[📂 Categoria]]="","",SUBSTITUTE(tbCartoes[[#This Row],[📂 Categoria]]," ","_"))</f>
        <v/>
      </c>
      <c r="I73" s="273"/>
    </row>
    <row r="74" spans="1:9">
      <c r="A74" s="55"/>
      <c r="B74" s="56"/>
      <c r="C74" s="56"/>
      <c r="D74" s="56"/>
      <c r="E74" s="57"/>
      <c r="F74" s="58"/>
      <c r="G74" s="56"/>
      <c r="H74" s="63" t="str">
        <f>IF(tbCartoes[[#This Row],[📂 Categoria]]="","",SUBSTITUTE(tbCartoes[[#This Row],[📂 Categoria]]," ","_"))</f>
        <v/>
      </c>
      <c r="I74" s="272"/>
    </row>
    <row r="75" spans="1:9">
      <c r="A75" s="59"/>
      <c r="B75" s="60"/>
      <c r="C75" s="60"/>
      <c r="D75" s="60"/>
      <c r="E75" s="61"/>
      <c r="F75" s="62"/>
      <c r="G75" s="60"/>
      <c r="H75" s="64" t="str">
        <f>IF(tbCartoes[[#This Row],[📂 Categoria]]="","",SUBSTITUTE(tbCartoes[[#This Row],[📂 Categoria]]," ","_"))</f>
        <v/>
      </c>
      <c r="I75" s="273"/>
    </row>
    <row r="76" spans="1:9">
      <c r="A76" s="55"/>
      <c r="B76" s="56"/>
      <c r="C76" s="56"/>
      <c r="D76" s="56"/>
      <c r="E76" s="57"/>
      <c r="F76" s="58"/>
      <c r="G76" s="56"/>
      <c r="H76" s="63" t="str">
        <f>IF(tbCartoes[[#This Row],[📂 Categoria]]="","",SUBSTITUTE(tbCartoes[[#This Row],[📂 Categoria]]," ","_"))</f>
        <v/>
      </c>
      <c r="I76" s="272"/>
    </row>
    <row r="77" spans="1:9">
      <c r="A77" s="59"/>
      <c r="B77" s="60"/>
      <c r="C77" s="60"/>
      <c r="D77" s="60"/>
      <c r="E77" s="61"/>
      <c r="F77" s="62"/>
      <c r="G77" s="60"/>
      <c r="H77" s="64" t="str">
        <f>IF(tbCartoes[[#This Row],[📂 Categoria]]="","",SUBSTITUTE(tbCartoes[[#This Row],[📂 Categoria]]," ","_"))</f>
        <v/>
      </c>
      <c r="I77" s="273"/>
    </row>
    <row r="78" spans="1:9">
      <c r="A78" s="55"/>
      <c r="B78" s="56"/>
      <c r="C78" s="56"/>
      <c r="D78" s="56"/>
      <c r="E78" s="57"/>
      <c r="F78" s="58"/>
      <c r="G78" s="56"/>
      <c r="H78" s="63" t="str">
        <f>IF(tbCartoes[[#This Row],[📂 Categoria]]="","",SUBSTITUTE(tbCartoes[[#This Row],[📂 Categoria]]," ","_"))</f>
        <v/>
      </c>
      <c r="I78" s="272"/>
    </row>
    <row r="79" spans="1:9">
      <c r="A79" s="59"/>
      <c r="B79" s="60"/>
      <c r="C79" s="60"/>
      <c r="D79" s="60"/>
      <c r="E79" s="61"/>
      <c r="F79" s="62"/>
      <c r="G79" s="60"/>
      <c r="H79" s="64" t="str">
        <f>IF(tbCartoes[[#This Row],[📂 Categoria]]="","",SUBSTITUTE(tbCartoes[[#This Row],[📂 Categoria]]," ","_"))</f>
        <v/>
      </c>
      <c r="I79" s="273"/>
    </row>
    <row r="80" spans="1:9">
      <c r="A80" s="55"/>
      <c r="B80" s="56"/>
      <c r="C80" s="56"/>
      <c r="D80" s="56"/>
      <c r="E80" s="57"/>
      <c r="F80" s="58"/>
      <c r="G80" s="56"/>
      <c r="H80" s="63" t="str">
        <f>IF(tbCartoes[[#This Row],[📂 Categoria]]="","",SUBSTITUTE(tbCartoes[[#This Row],[📂 Categoria]]," ","_"))</f>
        <v/>
      </c>
      <c r="I80" s="272"/>
    </row>
    <row r="81" spans="1:9">
      <c r="A81" s="59"/>
      <c r="B81" s="60"/>
      <c r="C81" s="60"/>
      <c r="D81" s="60"/>
      <c r="E81" s="61"/>
      <c r="F81" s="62"/>
      <c r="G81" s="60"/>
      <c r="H81" s="64" t="str">
        <f>IF(tbCartoes[[#This Row],[📂 Categoria]]="","",SUBSTITUTE(tbCartoes[[#This Row],[📂 Categoria]]," ","_"))</f>
        <v/>
      </c>
      <c r="I81" s="273"/>
    </row>
    <row r="82" spans="1:9">
      <c r="A82" s="55"/>
      <c r="B82" s="56"/>
      <c r="C82" s="56"/>
      <c r="D82" s="56"/>
      <c r="E82" s="57"/>
      <c r="F82" s="58"/>
      <c r="G82" s="56"/>
      <c r="H82" s="63" t="str">
        <f>IF(tbCartoes[[#This Row],[📂 Categoria]]="","",SUBSTITUTE(tbCartoes[[#This Row],[📂 Categoria]]," ","_"))</f>
        <v/>
      </c>
      <c r="I82" s="272"/>
    </row>
    <row r="83" spans="1:9">
      <c r="A83" s="59"/>
      <c r="B83" s="60"/>
      <c r="C83" s="60"/>
      <c r="D83" s="60"/>
      <c r="E83" s="61"/>
      <c r="F83" s="62"/>
      <c r="G83" s="60"/>
      <c r="H83" s="64" t="str">
        <f>IF(tbCartoes[[#This Row],[📂 Categoria]]="","",SUBSTITUTE(tbCartoes[[#This Row],[📂 Categoria]]," ","_"))</f>
        <v/>
      </c>
      <c r="I83" s="273"/>
    </row>
    <row r="84" spans="1:9">
      <c r="A84" s="55"/>
      <c r="B84" s="56"/>
      <c r="C84" s="56"/>
      <c r="D84" s="56"/>
      <c r="E84" s="57"/>
      <c r="F84" s="58"/>
      <c r="G84" s="56"/>
      <c r="H84" s="63" t="str">
        <f>IF(tbCartoes[[#This Row],[📂 Categoria]]="","",SUBSTITUTE(tbCartoes[[#This Row],[📂 Categoria]]," ","_"))</f>
        <v/>
      </c>
      <c r="I84" s="272"/>
    </row>
    <row r="85" spans="1:9">
      <c r="A85" s="59"/>
      <c r="B85" s="60"/>
      <c r="C85" s="60"/>
      <c r="D85" s="60"/>
      <c r="E85" s="61"/>
      <c r="F85" s="62"/>
      <c r="G85" s="60"/>
      <c r="H85" s="64" t="str">
        <f>IF(tbCartoes[[#This Row],[📂 Categoria]]="","",SUBSTITUTE(tbCartoes[[#This Row],[📂 Categoria]]," ","_"))</f>
        <v/>
      </c>
      <c r="I85" s="273"/>
    </row>
    <row r="86" spans="1:9">
      <c r="A86" s="55"/>
      <c r="B86" s="56"/>
      <c r="C86" s="56"/>
      <c r="D86" s="56"/>
      <c r="E86" s="57"/>
      <c r="F86" s="58"/>
      <c r="G86" s="56"/>
      <c r="H86" s="63" t="str">
        <f>IF(tbCartoes[[#This Row],[📂 Categoria]]="","",SUBSTITUTE(tbCartoes[[#This Row],[📂 Categoria]]," ","_"))</f>
        <v/>
      </c>
      <c r="I86" s="272"/>
    </row>
    <row r="87" spans="1:9">
      <c r="A87" s="59"/>
      <c r="B87" s="60"/>
      <c r="C87" s="60"/>
      <c r="D87" s="60"/>
      <c r="E87" s="61"/>
      <c r="F87" s="62"/>
      <c r="G87" s="60"/>
      <c r="H87" s="64" t="str">
        <f>IF(tbCartoes[[#This Row],[📂 Categoria]]="","",SUBSTITUTE(tbCartoes[[#This Row],[📂 Categoria]]," ","_"))</f>
        <v/>
      </c>
      <c r="I87" s="273"/>
    </row>
    <row r="88" spans="1:9">
      <c r="A88" s="55"/>
      <c r="B88" s="56"/>
      <c r="C88" s="56"/>
      <c r="D88" s="56"/>
      <c r="E88" s="57"/>
      <c r="F88" s="58"/>
      <c r="G88" s="56"/>
      <c r="H88" s="63" t="str">
        <f>IF(tbCartoes[[#This Row],[📂 Categoria]]="","",SUBSTITUTE(tbCartoes[[#This Row],[📂 Categoria]]," ","_"))</f>
        <v/>
      </c>
      <c r="I88" s="272"/>
    </row>
    <row r="89" spans="1:9">
      <c r="A89" s="59"/>
      <c r="B89" s="60"/>
      <c r="C89" s="60"/>
      <c r="D89" s="60"/>
      <c r="E89" s="61"/>
      <c r="F89" s="62"/>
      <c r="G89" s="60"/>
      <c r="H89" s="64" t="str">
        <f>IF(tbCartoes[[#This Row],[📂 Categoria]]="","",SUBSTITUTE(tbCartoes[[#This Row],[📂 Categoria]]," ","_"))</f>
        <v/>
      </c>
      <c r="I89" s="273"/>
    </row>
    <row r="90" spans="1:9">
      <c r="A90" s="55"/>
      <c r="B90" s="56"/>
      <c r="C90" s="56"/>
      <c r="D90" s="56"/>
      <c r="E90" s="57"/>
      <c r="F90" s="58"/>
      <c r="G90" s="56"/>
      <c r="H90" s="63" t="str">
        <f>IF(tbCartoes[[#This Row],[📂 Categoria]]="","",SUBSTITUTE(tbCartoes[[#This Row],[📂 Categoria]]," ","_"))</f>
        <v/>
      </c>
      <c r="I90" s="272"/>
    </row>
    <row r="91" spans="1:9">
      <c r="A91" s="59"/>
      <c r="B91" s="60"/>
      <c r="C91" s="60"/>
      <c r="D91" s="60"/>
      <c r="E91" s="61"/>
      <c r="F91" s="62"/>
      <c r="G91" s="60"/>
      <c r="H91" s="64" t="str">
        <f>IF(tbCartoes[[#This Row],[📂 Categoria]]="","",SUBSTITUTE(tbCartoes[[#This Row],[📂 Categoria]]," ","_"))</f>
        <v/>
      </c>
      <c r="I91" s="273"/>
    </row>
    <row r="92" spans="1:9">
      <c r="A92" s="55"/>
      <c r="B92" s="56"/>
      <c r="C92" s="56"/>
      <c r="D92" s="56"/>
      <c r="E92" s="57"/>
      <c r="F92" s="58"/>
      <c r="G92" s="56"/>
      <c r="H92" s="63" t="str">
        <f>IF(tbCartoes[[#This Row],[📂 Categoria]]="","",SUBSTITUTE(tbCartoes[[#This Row],[📂 Categoria]]," ","_"))</f>
        <v/>
      </c>
      <c r="I92" s="272"/>
    </row>
    <row r="93" spans="1:9">
      <c r="A93" s="59"/>
      <c r="B93" s="60"/>
      <c r="C93" s="60"/>
      <c r="D93" s="60"/>
      <c r="E93" s="61"/>
      <c r="F93" s="62"/>
      <c r="G93" s="60"/>
      <c r="H93" s="64" t="str">
        <f>IF(tbCartoes[[#This Row],[📂 Categoria]]="","",SUBSTITUTE(tbCartoes[[#This Row],[📂 Categoria]]," ","_"))</f>
        <v/>
      </c>
      <c r="I93" s="273"/>
    </row>
    <row r="94" spans="1:9">
      <c r="A94" s="55"/>
      <c r="B94" s="56"/>
      <c r="C94" s="56"/>
      <c r="D94" s="56"/>
      <c r="E94" s="57"/>
      <c r="F94" s="58"/>
      <c r="G94" s="56"/>
      <c r="H94" s="63" t="str">
        <f>IF(tbCartoes[[#This Row],[📂 Categoria]]="","",SUBSTITUTE(tbCartoes[[#This Row],[📂 Categoria]]," ","_"))</f>
        <v/>
      </c>
      <c r="I94" s="272"/>
    </row>
    <row r="95" spans="1:9">
      <c r="A95" s="59"/>
      <c r="B95" s="60"/>
      <c r="C95" s="60"/>
      <c r="D95" s="60"/>
      <c r="E95" s="61"/>
      <c r="F95" s="62"/>
      <c r="G95" s="60"/>
      <c r="H95" s="64" t="str">
        <f>IF(tbCartoes[[#This Row],[📂 Categoria]]="","",SUBSTITUTE(tbCartoes[[#This Row],[📂 Categoria]]," ","_"))</f>
        <v/>
      </c>
      <c r="I95" s="273"/>
    </row>
    <row r="96" spans="1:9">
      <c r="A96" s="55"/>
      <c r="B96" s="56"/>
      <c r="C96" s="56"/>
      <c r="D96" s="56"/>
      <c r="E96" s="57"/>
      <c r="F96" s="58"/>
      <c r="G96" s="56"/>
      <c r="H96" s="63" t="str">
        <f>IF(tbCartoes[[#This Row],[📂 Categoria]]="","",SUBSTITUTE(tbCartoes[[#This Row],[📂 Categoria]]," ","_"))</f>
        <v/>
      </c>
      <c r="I96" s="272"/>
    </row>
    <row r="97" spans="1:9">
      <c r="A97" s="59"/>
      <c r="B97" s="60"/>
      <c r="C97" s="60"/>
      <c r="D97" s="60"/>
      <c r="E97" s="61"/>
      <c r="F97" s="62"/>
      <c r="G97" s="60"/>
      <c r="H97" s="64" t="str">
        <f>IF(tbCartoes[[#This Row],[📂 Categoria]]="","",SUBSTITUTE(tbCartoes[[#This Row],[📂 Categoria]]," ","_"))</f>
        <v/>
      </c>
      <c r="I97" s="273"/>
    </row>
    <row r="98" spans="1:9">
      <c r="A98" s="55"/>
      <c r="B98" s="56"/>
      <c r="C98" s="56"/>
      <c r="D98" s="56"/>
      <c r="E98" s="57"/>
      <c r="F98" s="58"/>
      <c r="G98" s="56"/>
      <c r="H98" s="63" t="str">
        <f>IF(tbCartoes[[#This Row],[📂 Categoria]]="","",SUBSTITUTE(tbCartoes[[#This Row],[📂 Categoria]]," ","_"))</f>
        <v/>
      </c>
      <c r="I98" s="272"/>
    </row>
    <row r="99" spans="1:9">
      <c r="A99" s="59"/>
      <c r="B99" s="60"/>
      <c r="C99" s="60"/>
      <c r="D99" s="60"/>
      <c r="E99" s="61"/>
      <c r="F99" s="62"/>
      <c r="G99" s="60"/>
      <c r="H99" s="64" t="str">
        <f>IF(tbCartoes[[#This Row],[📂 Categoria]]="","",SUBSTITUTE(tbCartoes[[#This Row],[📂 Categoria]]," ","_"))</f>
        <v/>
      </c>
      <c r="I99" s="273"/>
    </row>
    <row r="100" spans="1:9">
      <c r="A100" s="55"/>
      <c r="B100" s="56"/>
      <c r="C100" s="56"/>
      <c r="D100" s="56"/>
      <c r="E100" s="57"/>
      <c r="F100" s="58"/>
      <c r="G100" s="56"/>
      <c r="H100" s="63" t="str">
        <f>IF(tbCartoes[[#This Row],[📂 Categoria]]="","",SUBSTITUTE(tbCartoes[[#This Row],[📂 Categoria]]," ","_"))</f>
        <v/>
      </c>
      <c r="I100" s="272"/>
    </row>
    <row r="101" spans="1:9">
      <c r="A101" s="59"/>
      <c r="B101" s="60"/>
      <c r="C101" s="60"/>
      <c r="D101" s="60"/>
      <c r="E101" s="61"/>
      <c r="F101" s="62"/>
      <c r="G101" s="60"/>
      <c r="H101" s="64" t="str">
        <f>IF(tbCartoes[[#This Row],[📂 Categoria]]="","",SUBSTITUTE(tbCartoes[[#This Row],[📂 Categoria]]," ","_"))</f>
        <v/>
      </c>
      <c r="I101" s="273"/>
    </row>
    <row r="102" spans="1:9">
      <c r="A102" s="55"/>
      <c r="B102" s="56"/>
      <c r="C102" s="56"/>
      <c r="D102" s="56"/>
      <c r="E102" s="57"/>
      <c r="F102" s="58"/>
      <c r="G102" s="56"/>
      <c r="H102" s="63" t="str">
        <f>IF(tbCartoes[[#This Row],[📂 Categoria]]="","",SUBSTITUTE(tbCartoes[[#This Row],[📂 Categoria]]," ","_"))</f>
        <v/>
      </c>
      <c r="I102" s="272"/>
    </row>
    <row r="103" spans="1:9">
      <c r="A103" s="59"/>
      <c r="B103" s="60"/>
      <c r="C103" s="60"/>
      <c r="D103" s="60"/>
      <c r="E103" s="61"/>
      <c r="F103" s="62"/>
      <c r="G103" s="60"/>
      <c r="H103" s="64" t="str">
        <f>IF(tbCartoes[[#This Row],[📂 Categoria]]="","",SUBSTITUTE(tbCartoes[[#This Row],[📂 Categoria]]," ","_"))</f>
        <v/>
      </c>
      <c r="I103" s="273"/>
    </row>
    <row r="104" spans="1:9">
      <c r="A104" s="55"/>
      <c r="B104" s="56"/>
      <c r="C104" s="56"/>
      <c r="D104" s="56"/>
      <c r="E104" s="57"/>
      <c r="F104" s="58"/>
      <c r="G104" s="56"/>
      <c r="H104" s="63" t="str">
        <f>IF(tbCartoes[[#This Row],[📂 Categoria]]="","",SUBSTITUTE(tbCartoes[[#This Row],[📂 Categoria]]," ","_"))</f>
        <v/>
      </c>
      <c r="I104" s="272"/>
    </row>
    <row r="105" spans="1:9">
      <c r="A105" s="59"/>
      <c r="B105" s="60"/>
      <c r="C105" s="60"/>
      <c r="D105" s="60"/>
      <c r="E105" s="61"/>
      <c r="F105" s="62"/>
      <c r="G105" s="60"/>
      <c r="H105" s="64" t="str">
        <f>IF(tbCartoes[[#This Row],[📂 Categoria]]="","",SUBSTITUTE(tbCartoes[[#This Row],[📂 Categoria]]," ","_"))</f>
        <v/>
      </c>
      <c r="I105" s="273"/>
    </row>
    <row r="106" spans="1:9">
      <c r="A106" s="55"/>
      <c r="B106" s="56"/>
      <c r="C106" s="56"/>
      <c r="D106" s="56"/>
      <c r="E106" s="57"/>
      <c r="F106" s="58"/>
      <c r="G106" s="56"/>
      <c r="H106" s="63" t="str">
        <f>IF(tbCartoes[[#This Row],[📂 Categoria]]="","",SUBSTITUTE(tbCartoes[[#This Row],[📂 Categoria]]," ","_"))</f>
        <v/>
      </c>
      <c r="I106" s="272"/>
    </row>
    <row r="107" spans="1:9">
      <c r="A107" s="59"/>
      <c r="B107" s="60"/>
      <c r="C107" s="60"/>
      <c r="D107" s="60"/>
      <c r="E107" s="61"/>
      <c r="F107" s="62"/>
      <c r="G107" s="60"/>
      <c r="H107" s="64" t="str">
        <f>IF(tbCartoes[[#This Row],[📂 Categoria]]="","",SUBSTITUTE(tbCartoes[[#This Row],[📂 Categoria]]," ","_"))</f>
        <v/>
      </c>
      <c r="I107" s="273"/>
    </row>
    <row r="108" spans="1:9">
      <c r="A108" s="55"/>
      <c r="B108" s="56"/>
      <c r="C108" s="56"/>
      <c r="D108" s="56"/>
      <c r="E108" s="57"/>
      <c r="F108" s="58"/>
      <c r="G108" s="56"/>
      <c r="H108" s="63" t="str">
        <f>IF(tbCartoes[[#This Row],[📂 Categoria]]="","",SUBSTITUTE(tbCartoes[[#This Row],[📂 Categoria]]," ","_"))</f>
        <v/>
      </c>
      <c r="I108" s="272"/>
    </row>
    <row r="109" spans="1:9">
      <c r="A109" s="59"/>
      <c r="B109" s="60"/>
      <c r="C109" s="60"/>
      <c r="D109" s="60"/>
      <c r="E109" s="61"/>
      <c r="F109" s="62"/>
      <c r="G109" s="60"/>
      <c r="H109" s="64" t="str">
        <f>IF(tbCartoes[[#This Row],[📂 Categoria]]="","",SUBSTITUTE(tbCartoes[[#This Row],[📂 Categoria]]," ","_"))</f>
        <v/>
      </c>
      <c r="I109" s="273"/>
    </row>
    <row r="110" spans="1:9">
      <c r="A110" s="55"/>
      <c r="B110" s="56"/>
      <c r="C110" s="56"/>
      <c r="D110" s="56"/>
      <c r="E110" s="57"/>
      <c r="F110" s="58"/>
      <c r="G110" s="56"/>
      <c r="H110" s="63" t="str">
        <f>IF(tbCartoes[[#This Row],[📂 Categoria]]="","",SUBSTITUTE(tbCartoes[[#This Row],[📂 Categoria]]," ","_"))</f>
        <v/>
      </c>
      <c r="I110" s="272"/>
    </row>
    <row r="111" spans="1:9">
      <c r="A111" s="59"/>
      <c r="B111" s="60"/>
      <c r="C111" s="60"/>
      <c r="D111" s="60"/>
      <c r="E111" s="61"/>
      <c r="F111" s="62"/>
      <c r="G111" s="60"/>
      <c r="H111" s="64" t="str">
        <f>IF(tbCartoes[[#This Row],[📂 Categoria]]="","",SUBSTITUTE(tbCartoes[[#This Row],[📂 Categoria]]," ","_"))</f>
        <v/>
      </c>
      <c r="I111" s="273"/>
    </row>
    <row r="112" spans="1:9">
      <c r="A112" s="55"/>
      <c r="B112" s="56"/>
      <c r="C112" s="56"/>
      <c r="D112" s="56"/>
      <c r="E112" s="57"/>
      <c r="F112" s="58"/>
      <c r="G112" s="56"/>
      <c r="H112" s="63" t="str">
        <f>IF(tbCartoes[[#This Row],[📂 Categoria]]="","",SUBSTITUTE(tbCartoes[[#This Row],[📂 Categoria]]," ","_"))</f>
        <v/>
      </c>
      <c r="I112" s="272"/>
    </row>
    <row r="113" spans="1:9">
      <c r="A113" s="59"/>
      <c r="B113" s="60"/>
      <c r="C113" s="60"/>
      <c r="D113" s="60"/>
      <c r="E113" s="61"/>
      <c r="F113" s="62"/>
      <c r="G113" s="60"/>
      <c r="H113" s="64" t="str">
        <f>IF(tbCartoes[[#This Row],[📂 Categoria]]="","",SUBSTITUTE(tbCartoes[[#This Row],[📂 Categoria]]," ","_"))</f>
        <v/>
      </c>
      <c r="I113" s="273"/>
    </row>
    <row r="114" spans="1:9">
      <c r="A114" s="55"/>
      <c r="B114" s="56"/>
      <c r="C114" s="56"/>
      <c r="D114" s="56"/>
      <c r="E114" s="57"/>
      <c r="F114" s="58"/>
      <c r="G114" s="56"/>
      <c r="H114" s="63" t="str">
        <f>IF(tbCartoes[[#This Row],[📂 Categoria]]="","",SUBSTITUTE(tbCartoes[[#This Row],[📂 Categoria]]," ","_"))</f>
        <v/>
      </c>
      <c r="I114" s="272"/>
    </row>
    <row r="115" spans="1:9">
      <c r="A115" s="59"/>
      <c r="B115" s="60"/>
      <c r="C115" s="60"/>
      <c r="D115" s="60"/>
      <c r="E115" s="61"/>
      <c r="F115" s="62"/>
      <c r="G115" s="60"/>
      <c r="H115" s="64" t="str">
        <f>IF(tbCartoes[[#This Row],[📂 Categoria]]="","",SUBSTITUTE(tbCartoes[[#This Row],[📂 Categoria]]," ","_"))</f>
        <v/>
      </c>
      <c r="I115" s="273"/>
    </row>
    <row r="116" spans="1:9">
      <c r="A116" s="55"/>
      <c r="B116" s="56"/>
      <c r="C116" s="56"/>
      <c r="D116" s="56"/>
      <c r="E116" s="57"/>
      <c r="F116" s="58"/>
      <c r="G116" s="56"/>
      <c r="H116" s="63" t="str">
        <f>IF(tbCartoes[[#This Row],[📂 Categoria]]="","",SUBSTITUTE(tbCartoes[[#This Row],[📂 Categoria]]," ","_"))</f>
        <v/>
      </c>
      <c r="I116" s="272"/>
    </row>
    <row r="117" spans="1:9">
      <c r="A117" s="59"/>
      <c r="B117" s="60"/>
      <c r="C117" s="60"/>
      <c r="D117" s="60"/>
      <c r="E117" s="61"/>
      <c r="F117" s="62"/>
      <c r="G117" s="60"/>
      <c r="H117" s="64" t="str">
        <f>IF(tbCartoes[[#This Row],[📂 Categoria]]="","",SUBSTITUTE(tbCartoes[[#This Row],[📂 Categoria]]," ","_"))</f>
        <v/>
      </c>
      <c r="I117" s="273"/>
    </row>
    <row r="118" spans="1:9">
      <c r="A118" s="55"/>
      <c r="B118" s="56"/>
      <c r="C118" s="56"/>
      <c r="D118" s="56"/>
      <c r="E118" s="57"/>
      <c r="F118" s="58"/>
      <c r="G118" s="56"/>
      <c r="H118" s="63" t="str">
        <f>IF(tbCartoes[[#This Row],[📂 Categoria]]="","",SUBSTITUTE(tbCartoes[[#This Row],[📂 Categoria]]," ","_"))</f>
        <v/>
      </c>
      <c r="I118" s="272"/>
    </row>
    <row r="119" spans="1:9">
      <c r="A119" s="59"/>
      <c r="B119" s="60"/>
      <c r="C119" s="60"/>
      <c r="D119" s="60"/>
      <c r="E119" s="61"/>
      <c r="F119" s="62"/>
      <c r="G119" s="60"/>
      <c r="H119" s="64" t="str">
        <f>IF(tbCartoes[[#This Row],[📂 Categoria]]="","",SUBSTITUTE(tbCartoes[[#This Row],[📂 Categoria]]," ","_"))</f>
        <v/>
      </c>
      <c r="I119" s="273"/>
    </row>
    <row r="120" spans="1:9">
      <c r="A120" s="55"/>
      <c r="B120" s="56"/>
      <c r="C120" s="56"/>
      <c r="D120" s="56"/>
      <c r="E120" s="57"/>
      <c r="F120" s="58"/>
      <c r="G120" s="56"/>
      <c r="H120" s="63" t="str">
        <f>IF(tbCartoes[[#This Row],[📂 Categoria]]="","",SUBSTITUTE(tbCartoes[[#This Row],[📂 Categoria]]," ","_"))</f>
        <v/>
      </c>
      <c r="I120" s="272"/>
    </row>
    <row r="121" spans="1:9">
      <c r="A121" s="59"/>
      <c r="B121" s="60"/>
      <c r="C121" s="60"/>
      <c r="D121" s="60"/>
      <c r="E121" s="61"/>
      <c r="F121" s="62"/>
      <c r="G121" s="60"/>
      <c r="H121" s="64" t="str">
        <f>IF(tbCartoes[[#This Row],[📂 Categoria]]="","",SUBSTITUTE(tbCartoes[[#This Row],[📂 Categoria]]," ","_"))</f>
        <v/>
      </c>
      <c r="I121" s="273"/>
    </row>
    <row r="122" spans="1:9">
      <c r="A122" s="55"/>
      <c r="B122" s="56"/>
      <c r="C122" s="56"/>
      <c r="D122" s="56"/>
      <c r="E122" s="57"/>
      <c r="F122" s="58"/>
      <c r="G122" s="56"/>
      <c r="H122" s="63" t="str">
        <f>IF(tbCartoes[[#This Row],[📂 Categoria]]="","",SUBSTITUTE(tbCartoes[[#This Row],[📂 Categoria]]," ","_"))</f>
        <v/>
      </c>
      <c r="I122" s="272"/>
    </row>
    <row r="123" spans="1:9">
      <c r="A123" s="59"/>
      <c r="B123" s="60"/>
      <c r="C123" s="60"/>
      <c r="D123" s="60"/>
      <c r="E123" s="61"/>
      <c r="F123" s="62"/>
      <c r="G123" s="60"/>
      <c r="H123" s="64" t="str">
        <f>IF(tbCartoes[[#This Row],[📂 Categoria]]="","",SUBSTITUTE(tbCartoes[[#This Row],[📂 Categoria]]," ","_"))</f>
        <v/>
      </c>
      <c r="I123" s="273"/>
    </row>
    <row r="124" spans="1:9">
      <c r="A124" s="55"/>
      <c r="B124" s="56"/>
      <c r="C124" s="56"/>
      <c r="D124" s="56"/>
      <c r="E124" s="57"/>
      <c r="F124" s="58"/>
      <c r="G124" s="56"/>
      <c r="H124" s="63" t="str">
        <f>IF(tbCartoes[[#This Row],[📂 Categoria]]="","",SUBSTITUTE(tbCartoes[[#This Row],[📂 Categoria]]," ","_"))</f>
        <v/>
      </c>
      <c r="I124" s="272"/>
    </row>
    <row r="125" spans="1:9">
      <c r="A125" s="59"/>
      <c r="B125" s="60"/>
      <c r="C125" s="60"/>
      <c r="D125" s="60"/>
      <c r="E125" s="61"/>
      <c r="F125" s="62"/>
      <c r="G125" s="60"/>
      <c r="H125" s="64" t="str">
        <f>IF(tbCartoes[[#This Row],[📂 Categoria]]="","",SUBSTITUTE(tbCartoes[[#This Row],[📂 Categoria]]," ","_"))</f>
        <v/>
      </c>
      <c r="I125" s="273"/>
    </row>
    <row r="126" spans="1:9">
      <c r="A126" s="55"/>
      <c r="B126" s="56"/>
      <c r="C126" s="56"/>
      <c r="D126" s="56"/>
      <c r="E126" s="57"/>
      <c r="F126" s="58"/>
      <c r="G126" s="56"/>
      <c r="H126" s="63" t="str">
        <f>IF(tbCartoes[[#This Row],[📂 Categoria]]="","",SUBSTITUTE(tbCartoes[[#This Row],[📂 Categoria]]," ","_"))</f>
        <v/>
      </c>
      <c r="I126" s="272"/>
    </row>
    <row r="127" spans="1:9">
      <c r="A127" s="59"/>
      <c r="B127" s="60"/>
      <c r="C127" s="60"/>
      <c r="D127" s="60"/>
      <c r="E127" s="61"/>
      <c r="F127" s="62"/>
      <c r="G127" s="60"/>
      <c r="H127" s="64" t="str">
        <f>IF(tbCartoes[[#This Row],[📂 Categoria]]="","",SUBSTITUTE(tbCartoes[[#This Row],[📂 Categoria]]," ","_"))</f>
        <v/>
      </c>
      <c r="I127" s="273"/>
    </row>
    <row r="128" spans="1:9">
      <c r="A128" s="55"/>
      <c r="B128" s="56"/>
      <c r="C128" s="56"/>
      <c r="D128" s="56"/>
      <c r="E128" s="57"/>
      <c r="F128" s="58"/>
      <c r="G128" s="56"/>
      <c r="H128" s="63" t="str">
        <f>IF(tbCartoes[[#This Row],[📂 Categoria]]="","",SUBSTITUTE(tbCartoes[[#This Row],[📂 Categoria]]," ","_"))</f>
        <v/>
      </c>
      <c r="I128" s="272"/>
    </row>
    <row r="129" spans="1:9">
      <c r="A129" s="59"/>
      <c r="B129" s="60"/>
      <c r="C129" s="60"/>
      <c r="D129" s="60"/>
      <c r="E129" s="61"/>
      <c r="F129" s="62"/>
      <c r="G129" s="60"/>
      <c r="H129" s="64" t="str">
        <f>IF(tbCartoes[[#This Row],[📂 Categoria]]="","",SUBSTITUTE(tbCartoes[[#This Row],[📂 Categoria]]," ","_"))</f>
        <v/>
      </c>
      <c r="I129" s="273"/>
    </row>
    <row r="130" spans="1:9">
      <c r="A130" s="55"/>
      <c r="B130" s="56"/>
      <c r="C130" s="56"/>
      <c r="D130" s="56"/>
      <c r="E130" s="57"/>
      <c r="F130" s="58"/>
      <c r="G130" s="56"/>
      <c r="H130" s="63" t="str">
        <f>IF(tbCartoes[[#This Row],[📂 Categoria]]="","",SUBSTITUTE(tbCartoes[[#This Row],[📂 Categoria]]," ","_"))</f>
        <v/>
      </c>
      <c r="I130" s="272"/>
    </row>
    <row r="131" spans="1:9">
      <c r="A131" s="59"/>
      <c r="B131" s="60"/>
      <c r="C131" s="60"/>
      <c r="D131" s="60"/>
      <c r="E131" s="61"/>
      <c r="F131" s="62"/>
      <c r="G131" s="60"/>
      <c r="H131" s="64" t="str">
        <f>IF(tbCartoes[[#This Row],[📂 Categoria]]="","",SUBSTITUTE(tbCartoes[[#This Row],[📂 Categoria]]," ","_"))</f>
        <v/>
      </c>
      <c r="I131" s="273"/>
    </row>
    <row r="132" spans="1:9">
      <c r="A132" s="55"/>
      <c r="B132" s="56"/>
      <c r="C132" s="56"/>
      <c r="D132" s="56"/>
      <c r="E132" s="57"/>
      <c r="F132" s="58"/>
      <c r="G132" s="56"/>
      <c r="H132" s="63" t="str">
        <f>IF(tbCartoes[[#This Row],[📂 Categoria]]="","",SUBSTITUTE(tbCartoes[[#This Row],[📂 Categoria]]," ","_"))</f>
        <v/>
      </c>
      <c r="I132" s="272"/>
    </row>
    <row r="133" spans="1:9">
      <c r="A133" s="59"/>
      <c r="B133" s="60"/>
      <c r="C133" s="60"/>
      <c r="D133" s="60"/>
      <c r="E133" s="61"/>
      <c r="F133" s="62"/>
      <c r="G133" s="60"/>
      <c r="H133" s="64" t="str">
        <f>IF(tbCartoes[[#This Row],[📂 Categoria]]="","",SUBSTITUTE(tbCartoes[[#This Row],[📂 Categoria]]," ","_"))</f>
        <v/>
      </c>
      <c r="I133" s="273"/>
    </row>
    <row r="134" spans="1:9">
      <c r="A134" s="55"/>
      <c r="B134" s="56"/>
      <c r="C134" s="56"/>
      <c r="D134" s="56"/>
      <c r="E134" s="57"/>
      <c r="F134" s="58"/>
      <c r="G134" s="56"/>
      <c r="H134" s="63" t="str">
        <f>IF(tbCartoes[[#This Row],[📂 Categoria]]="","",SUBSTITUTE(tbCartoes[[#This Row],[📂 Categoria]]," ","_"))</f>
        <v/>
      </c>
      <c r="I134" s="272"/>
    </row>
    <row r="135" spans="1:9">
      <c r="A135" s="59"/>
      <c r="B135" s="60"/>
      <c r="C135" s="60"/>
      <c r="D135" s="60"/>
      <c r="E135" s="61"/>
      <c r="F135" s="62"/>
      <c r="G135" s="60"/>
      <c r="H135" s="64" t="str">
        <f>IF(tbCartoes[[#This Row],[📂 Categoria]]="","",SUBSTITUTE(tbCartoes[[#This Row],[📂 Categoria]]," ","_"))</f>
        <v/>
      </c>
      <c r="I135" s="273"/>
    </row>
    <row r="136" spans="1:9">
      <c r="A136" s="55"/>
      <c r="B136" s="56"/>
      <c r="C136" s="56"/>
      <c r="D136" s="56"/>
      <c r="E136" s="57"/>
      <c r="F136" s="58"/>
      <c r="G136" s="56"/>
      <c r="H136" s="63" t="str">
        <f>IF(tbCartoes[[#This Row],[📂 Categoria]]="","",SUBSTITUTE(tbCartoes[[#This Row],[📂 Categoria]]," ","_"))</f>
        <v/>
      </c>
      <c r="I136" s="272"/>
    </row>
    <row r="137" spans="1:9">
      <c r="A137" s="59"/>
      <c r="B137" s="60"/>
      <c r="C137" s="60"/>
      <c r="D137" s="60"/>
      <c r="E137" s="61"/>
      <c r="F137" s="62"/>
      <c r="G137" s="60"/>
      <c r="H137" s="64" t="str">
        <f>IF(tbCartoes[[#This Row],[📂 Categoria]]="","",SUBSTITUTE(tbCartoes[[#This Row],[📂 Categoria]]," ","_"))</f>
        <v/>
      </c>
      <c r="I137" s="273"/>
    </row>
    <row r="138" spans="1:9">
      <c r="A138" s="55"/>
      <c r="B138" s="56"/>
      <c r="C138" s="56"/>
      <c r="D138" s="56"/>
      <c r="E138" s="57"/>
      <c r="F138" s="58"/>
      <c r="G138" s="56"/>
      <c r="H138" s="63" t="str">
        <f>IF(tbCartoes[[#This Row],[📂 Categoria]]="","",SUBSTITUTE(tbCartoes[[#This Row],[📂 Categoria]]," ","_"))</f>
        <v/>
      </c>
      <c r="I138" s="272"/>
    </row>
    <row r="139" spans="1:9">
      <c r="A139" s="59"/>
      <c r="B139" s="60"/>
      <c r="C139" s="60"/>
      <c r="D139" s="60"/>
      <c r="E139" s="61"/>
      <c r="F139" s="62"/>
      <c r="G139" s="60"/>
      <c r="H139" s="64" t="str">
        <f>IF(tbCartoes[[#This Row],[📂 Categoria]]="","",SUBSTITUTE(tbCartoes[[#This Row],[📂 Categoria]]," ","_"))</f>
        <v/>
      </c>
      <c r="I139" s="273"/>
    </row>
    <row r="140" spans="1:9">
      <c r="A140" s="55"/>
      <c r="B140" s="56"/>
      <c r="C140" s="56"/>
      <c r="D140" s="56"/>
      <c r="E140" s="57"/>
      <c r="F140" s="58"/>
      <c r="G140" s="56"/>
      <c r="H140" s="63" t="str">
        <f>IF(tbCartoes[[#This Row],[📂 Categoria]]="","",SUBSTITUTE(tbCartoes[[#This Row],[📂 Categoria]]," ","_"))</f>
        <v/>
      </c>
      <c r="I140" s="272"/>
    </row>
    <row r="141" spans="1:9">
      <c r="A141" s="59"/>
      <c r="B141" s="60"/>
      <c r="C141" s="60"/>
      <c r="D141" s="60"/>
      <c r="E141" s="61"/>
      <c r="F141" s="62"/>
      <c r="G141" s="60"/>
      <c r="H141" s="64" t="str">
        <f>IF(tbCartoes[[#This Row],[📂 Categoria]]="","",SUBSTITUTE(tbCartoes[[#This Row],[📂 Categoria]]," ","_"))</f>
        <v/>
      </c>
      <c r="I141" s="273"/>
    </row>
    <row r="142" spans="1:9">
      <c r="A142" s="55"/>
      <c r="B142" s="56"/>
      <c r="C142" s="56"/>
      <c r="D142" s="56"/>
      <c r="E142" s="57"/>
      <c r="F142" s="58"/>
      <c r="G142" s="56"/>
      <c r="H142" s="63" t="str">
        <f>IF(tbCartoes[[#This Row],[📂 Categoria]]="","",SUBSTITUTE(tbCartoes[[#This Row],[📂 Categoria]]," ","_"))</f>
        <v/>
      </c>
      <c r="I142" s="272"/>
    </row>
    <row r="143" spans="1:9">
      <c r="A143" s="59"/>
      <c r="B143" s="60"/>
      <c r="C143" s="60"/>
      <c r="D143" s="60"/>
      <c r="E143" s="61"/>
      <c r="F143" s="62"/>
      <c r="G143" s="60"/>
      <c r="H143" s="64" t="str">
        <f>IF(tbCartoes[[#This Row],[📂 Categoria]]="","",SUBSTITUTE(tbCartoes[[#This Row],[📂 Categoria]]," ","_"))</f>
        <v/>
      </c>
      <c r="I143" s="273"/>
    </row>
    <row r="144" spans="1:9">
      <c r="A144" s="55"/>
      <c r="B144" s="56"/>
      <c r="C144" s="56"/>
      <c r="D144" s="56"/>
      <c r="E144" s="57"/>
      <c r="F144" s="58"/>
      <c r="G144" s="56"/>
      <c r="H144" s="63" t="str">
        <f>IF(tbCartoes[[#This Row],[📂 Categoria]]="","",SUBSTITUTE(tbCartoes[[#This Row],[📂 Categoria]]," ","_"))</f>
        <v/>
      </c>
      <c r="I144" s="272"/>
    </row>
    <row r="145" spans="1:9">
      <c r="A145" s="59"/>
      <c r="B145" s="60"/>
      <c r="C145" s="60"/>
      <c r="D145" s="60"/>
      <c r="E145" s="61"/>
      <c r="F145" s="62"/>
      <c r="G145" s="60"/>
      <c r="H145" s="64" t="str">
        <f>IF(tbCartoes[[#This Row],[📂 Categoria]]="","",SUBSTITUTE(tbCartoes[[#This Row],[📂 Categoria]]," ","_"))</f>
        <v/>
      </c>
      <c r="I145" s="273"/>
    </row>
    <row r="146" spans="1:9">
      <c r="A146" s="55"/>
      <c r="B146" s="56"/>
      <c r="C146" s="56"/>
      <c r="D146" s="56"/>
      <c r="E146" s="57"/>
      <c r="F146" s="58"/>
      <c r="G146" s="56"/>
      <c r="H146" s="63" t="str">
        <f>IF(tbCartoes[[#This Row],[📂 Categoria]]="","",SUBSTITUTE(tbCartoes[[#This Row],[📂 Categoria]]," ","_"))</f>
        <v/>
      </c>
      <c r="I146" s="272"/>
    </row>
    <row r="147" spans="1:9">
      <c r="A147" s="59"/>
      <c r="B147" s="60"/>
      <c r="C147" s="60"/>
      <c r="D147" s="60"/>
      <c r="E147" s="61"/>
      <c r="F147" s="62"/>
      <c r="G147" s="60"/>
      <c r="H147" s="64" t="str">
        <f>IF(tbCartoes[[#This Row],[📂 Categoria]]="","",SUBSTITUTE(tbCartoes[[#This Row],[📂 Categoria]]," ","_"))</f>
        <v/>
      </c>
      <c r="I147" s="273"/>
    </row>
    <row r="148" spans="1:9">
      <c r="A148" s="55"/>
      <c r="B148" s="56"/>
      <c r="C148" s="56"/>
      <c r="D148" s="56"/>
      <c r="E148" s="57"/>
      <c r="F148" s="58"/>
      <c r="G148" s="56"/>
      <c r="H148" s="63" t="str">
        <f>IF(tbCartoes[[#This Row],[📂 Categoria]]="","",SUBSTITUTE(tbCartoes[[#This Row],[📂 Categoria]]," ","_"))</f>
        <v/>
      </c>
      <c r="I148" s="272"/>
    </row>
    <row r="149" spans="1:9">
      <c r="A149" s="59"/>
      <c r="B149" s="60"/>
      <c r="C149" s="60"/>
      <c r="D149" s="60"/>
      <c r="E149" s="61"/>
      <c r="F149" s="62"/>
      <c r="G149" s="60"/>
      <c r="H149" s="64" t="str">
        <f>IF(tbCartoes[[#This Row],[📂 Categoria]]="","",SUBSTITUTE(tbCartoes[[#This Row],[📂 Categoria]]," ","_"))</f>
        <v/>
      </c>
      <c r="I149" s="273"/>
    </row>
    <row r="150" spans="1:9">
      <c r="A150" s="55"/>
      <c r="B150" s="56"/>
      <c r="C150" s="56"/>
      <c r="D150" s="56"/>
      <c r="E150" s="57"/>
      <c r="F150" s="58"/>
      <c r="G150" s="56"/>
      <c r="H150" s="63" t="str">
        <f>IF(tbCartoes[[#This Row],[📂 Categoria]]="","",SUBSTITUTE(tbCartoes[[#This Row],[📂 Categoria]]," ","_"))</f>
        <v/>
      </c>
      <c r="I150" s="272"/>
    </row>
    <row r="151" spans="1:9">
      <c r="A151" s="59"/>
      <c r="B151" s="60"/>
      <c r="C151" s="60"/>
      <c r="D151" s="60"/>
      <c r="E151" s="61"/>
      <c r="F151" s="62"/>
      <c r="G151" s="60"/>
      <c r="H151" s="64" t="str">
        <f>IF(tbCartoes[[#This Row],[📂 Categoria]]="","",SUBSTITUTE(tbCartoes[[#This Row],[📂 Categoria]]," ","_"))</f>
        <v/>
      </c>
      <c r="I151" s="273"/>
    </row>
    <row r="152" spans="1:9">
      <c r="A152" s="55"/>
      <c r="B152" s="56"/>
      <c r="C152" s="56"/>
      <c r="D152" s="56"/>
      <c r="E152" s="57"/>
      <c r="F152" s="58"/>
      <c r="G152" s="56"/>
      <c r="H152" s="63" t="str">
        <f>IF(tbCartoes[[#This Row],[📂 Categoria]]="","",SUBSTITUTE(tbCartoes[[#This Row],[📂 Categoria]]," ","_"))</f>
        <v/>
      </c>
      <c r="I152" s="272"/>
    </row>
    <row r="153" spans="1:9">
      <c r="A153" s="59"/>
      <c r="B153" s="60"/>
      <c r="C153" s="60"/>
      <c r="D153" s="60"/>
      <c r="E153" s="61"/>
      <c r="F153" s="62"/>
      <c r="G153" s="60"/>
      <c r="H153" s="64" t="str">
        <f>IF(tbCartoes[[#This Row],[📂 Categoria]]="","",SUBSTITUTE(tbCartoes[[#This Row],[📂 Categoria]]," ","_"))</f>
        <v/>
      </c>
      <c r="I153" s="273"/>
    </row>
    <row r="154" spans="1:9">
      <c r="A154" s="55"/>
      <c r="B154" s="56"/>
      <c r="C154" s="56"/>
      <c r="D154" s="56"/>
      <c r="E154" s="57"/>
      <c r="F154" s="58"/>
      <c r="G154" s="56"/>
      <c r="H154" s="63" t="str">
        <f>IF(tbCartoes[[#This Row],[📂 Categoria]]="","",SUBSTITUTE(tbCartoes[[#This Row],[📂 Categoria]]," ","_"))</f>
        <v/>
      </c>
      <c r="I154" s="272"/>
    </row>
    <row r="155" spans="1:9">
      <c r="A155" s="59"/>
      <c r="B155" s="60"/>
      <c r="C155" s="60"/>
      <c r="D155" s="60"/>
      <c r="E155" s="61"/>
      <c r="F155" s="62"/>
      <c r="G155" s="60"/>
      <c r="H155" s="64" t="str">
        <f>IF(tbCartoes[[#This Row],[📂 Categoria]]="","",SUBSTITUTE(tbCartoes[[#This Row],[📂 Categoria]]," ","_"))</f>
        <v/>
      </c>
      <c r="I155" s="273"/>
    </row>
    <row r="156" spans="1:9">
      <c r="A156" s="55"/>
      <c r="B156" s="56"/>
      <c r="C156" s="56"/>
      <c r="D156" s="56"/>
      <c r="E156" s="57"/>
      <c r="F156" s="58"/>
      <c r="G156" s="56"/>
      <c r="H156" s="63" t="str">
        <f>IF(tbCartoes[[#This Row],[📂 Categoria]]="","",SUBSTITUTE(tbCartoes[[#This Row],[📂 Categoria]]," ","_"))</f>
        <v/>
      </c>
      <c r="I156" s="272"/>
    </row>
    <row r="157" spans="1:9">
      <c r="A157" s="59"/>
      <c r="B157" s="60"/>
      <c r="C157" s="60"/>
      <c r="D157" s="60"/>
      <c r="E157" s="61"/>
      <c r="F157" s="62"/>
      <c r="G157" s="60"/>
      <c r="H157" s="64" t="str">
        <f>IF(tbCartoes[[#This Row],[📂 Categoria]]="","",SUBSTITUTE(tbCartoes[[#This Row],[📂 Categoria]]," ","_"))</f>
        <v/>
      </c>
      <c r="I157" s="273"/>
    </row>
    <row r="158" spans="1:9">
      <c r="A158" s="55"/>
      <c r="B158" s="56"/>
      <c r="C158" s="56"/>
      <c r="D158" s="56"/>
      <c r="E158" s="57"/>
      <c r="F158" s="58"/>
      <c r="G158" s="56"/>
      <c r="H158" s="63" t="str">
        <f>IF(tbCartoes[[#This Row],[📂 Categoria]]="","",SUBSTITUTE(tbCartoes[[#This Row],[📂 Categoria]]," ","_"))</f>
        <v/>
      </c>
      <c r="I158" s="272"/>
    </row>
    <row r="159" spans="1:9">
      <c r="A159" s="59"/>
      <c r="B159" s="60"/>
      <c r="C159" s="60"/>
      <c r="D159" s="60"/>
      <c r="E159" s="61"/>
      <c r="F159" s="62"/>
      <c r="G159" s="60"/>
      <c r="H159" s="64" t="str">
        <f>IF(tbCartoes[[#This Row],[📂 Categoria]]="","",SUBSTITUTE(tbCartoes[[#This Row],[📂 Categoria]]," ","_"))</f>
        <v/>
      </c>
      <c r="I159" s="273"/>
    </row>
    <row r="160" spans="1:9">
      <c r="A160" s="55"/>
      <c r="B160" s="56"/>
      <c r="C160" s="56"/>
      <c r="D160" s="56"/>
      <c r="E160" s="57"/>
      <c r="F160" s="58"/>
      <c r="G160" s="56"/>
      <c r="H160" s="63" t="str">
        <f>IF(tbCartoes[[#This Row],[📂 Categoria]]="","",SUBSTITUTE(tbCartoes[[#This Row],[📂 Categoria]]," ","_"))</f>
        <v/>
      </c>
      <c r="I160" s="272"/>
    </row>
    <row r="161" spans="1:9">
      <c r="A161" s="59"/>
      <c r="B161" s="60"/>
      <c r="C161" s="60"/>
      <c r="D161" s="60"/>
      <c r="E161" s="61"/>
      <c r="F161" s="62"/>
      <c r="G161" s="60"/>
      <c r="H161" s="64" t="str">
        <f>IF(tbCartoes[[#This Row],[📂 Categoria]]="","",SUBSTITUTE(tbCartoes[[#This Row],[📂 Categoria]]," ","_"))</f>
        <v/>
      </c>
      <c r="I161" s="273"/>
    </row>
    <row r="162" spans="1:9">
      <c r="A162" s="55"/>
      <c r="B162" s="56"/>
      <c r="C162" s="56"/>
      <c r="D162" s="56"/>
      <c r="E162" s="57"/>
      <c r="F162" s="58"/>
      <c r="G162" s="56"/>
      <c r="H162" s="63" t="str">
        <f>IF(tbCartoes[[#This Row],[📂 Categoria]]="","",SUBSTITUTE(tbCartoes[[#This Row],[📂 Categoria]]," ","_"))</f>
        <v/>
      </c>
      <c r="I162" s="272"/>
    </row>
    <row r="163" spans="1:9">
      <c r="A163" s="59"/>
      <c r="B163" s="60"/>
      <c r="C163" s="60"/>
      <c r="D163" s="60"/>
      <c r="E163" s="61"/>
      <c r="F163" s="62"/>
      <c r="G163" s="60"/>
      <c r="H163" s="64" t="str">
        <f>IF(tbCartoes[[#This Row],[📂 Categoria]]="","",SUBSTITUTE(tbCartoes[[#This Row],[📂 Categoria]]," ","_"))</f>
        <v/>
      </c>
      <c r="I163" s="273"/>
    </row>
    <row r="164" spans="1:9">
      <c r="A164" s="55"/>
      <c r="B164" s="56"/>
      <c r="C164" s="56"/>
      <c r="D164" s="56"/>
      <c r="E164" s="57"/>
      <c r="F164" s="58"/>
      <c r="G164" s="56"/>
      <c r="H164" s="63" t="str">
        <f>IF(tbCartoes[[#This Row],[📂 Categoria]]="","",SUBSTITUTE(tbCartoes[[#This Row],[📂 Categoria]]," ","_"))</f>
        <v/>
      </c>
      <c r="I164" s="272"/>
    </row>
    <row r="165" spans="1:9">
      <c r="A165" s="59"/>
      <c r="B165" s="60"/>
      <c r="C165" s="60"/>
      <c r="D165" s="60"/>
      <c r="E165" s="61"/>
      <c r="F165" s="62"/>
      <c r="G165" s="60"/>
      <c r="H165" s="64" t="str">
        <f>IF(tbCartoes[[#This Row],[📂 Categoria]]="","",SUBSTITUTE(tbCartoes[[#This Row],[📂 Categoria]]," ","_"))</f>
        <v/>
      </c>
      <c r="I165" s="273"/>
    </row>
    <row r="166" spans="1:9">
      <c r="A166" s="55"/>
      <c r="B166" s="56"/>
      <c r="C166" s="56"/>
      <c r="D166" s="56"/>
      <c r="E166" s="57"/>
      <c r="F166" s="58"/>
      <c r="G166" s="56"/>
      <c r="H166" s="63" t="str">
        <f>IF(tbCartoes[[#This Row],[📂 Categoria]]="","",SUBSTITUTE(tbCartoes[[#This Row],[📂 Categoria]]," ","_"))</f>
        <v/>
      </c>
      <c r="I166" s="272"/>
    </row>
    <row r="167" spans="1:9">
      <c r="A167" s="59"/>
      <c r="B167" s="60"/>
      <c r="C167" s="60"/>
      <c r="D167" s="60"/>
      <c r="E167" s="61"/>
      <c r="F167" s="62"/>
      <c r="G167" s="60"/>
      <c r="H167" s="64" t="str">
        <f>IF(tbCartoes[[#This Row],[📂 Categoria]]="","",SUBSTITUTE(tbCartoes[[#This Row],[📂 Categoria]]," ","_"))</f>
        <v/>
      </c>
      <c r="I167" s="273"/>
    </row>
    <row r="168" spans="1:9">
      <c r="A168" s="55"/>
      <c r="B168" s="56"/>
      <c r="C168" s="56"/>
      <c r="D168" s="56"/>
      <c r="E168" s="57"/>
      <c r="F168" s="58"/>
      <c r="G168" s="56"/>
      <c r="H168" s="63" t="str">
        <f>IF(tbCartoes[[#This Row],[📂 Categoria]]="","",SUBSTITUTE(tbCartoes[[#This Row],[📂 Categoria]]," ","_"))</f>
        <v/>
      </c>
      <c r="I168" s="272"/>
    </row>
    <row r="169" spans="1:9">
      <c r="A169" s="59"/>
      <c r="B169" s="60"/>
      <c r="C169" s="60"/>
      <c r="D169" s="60"/>
      <c r="E169" s="61"/>
      <c r="F169" s="62"/>
      <c r="G169" s="60"/>
      <c r="H169" s="64" t="str">
        <f>IF(tbCartoes[[#This Row],[📂 Categoria]]="","",SUBSTITUTE(tbCartoes[[#This Row],[📂 Categoria]]," ","_"))</f>
        <v/>
      </c>
      <c r="I169" s="273"/>
    </row>
    <row r="170" spans="1:9">
      <c r="A170" s="55"/>
      <c r="B170" s="56"/>
      <c r="C170" s="56"/>
      <c r="D170" s="56"/>
      <c r="E170" s="57"/>
      <c r="F170" s="58"/>
      <c r="G170" s="56"/>
      <c r="H170" s="63" t="str">
        <f>IF(tbCartoes[[#This Row],[📂 Categoria]]="","",SUBSTITUTE(tbCartoes[[#This Row],[📂 Categoria]]," ","_"))</f>
        <v/>
      </c>
      <c r="I170" s="272"/>
    </row>
    <row r="171" spans="1:9">
      <c r="A171" s="59"/>
      <c r="B171" s="60"/>
      <c r="C171" s="60"/>
      <c r="D171" s="60"/>
      <c r="E171" s="61"/>
      <c r="F171" s="62"/>
      <c r="G171" s="60"/>
      <c r="H171" s="64" t="str">
        <f>IF(tbCartoes[[#This Row],[📂 Categoria]]="","",SUBSTITUTE(tbCartoes[[#This Row],[📂 Categoria]]," ","_"))</f>
        <v/>
      </c>
      <c r="I171" s="273"/>
    </row>
    <row r="172" spans="1:9">
      <c r="A172" s="55"/>
      <c r="B172" s="56"/>
      <c r="C172" s="56"/>
      <c r="D172" s="56"/>
      <c r="E172" s="57"/>
      <c r="F172" s="58"/>
      <c r="G172" s="56"/>
      <c r="H172" s="63" t="str">
        <f>IF(tbCartoes[[#This Row],[📂 Categoria]]="","",SUBSTITUTE(tbCartoes[[#This Row],[📂 Categoria]]," ","_"))</f>
        <v/>
      </c>
      <c r="I172" s="272"/>
    </row>
    <row r="173" spans="1:9">
      <c r="A173" s="59"/>
      <c r="B173" s="60"/>
      <c r="C173" s="60"/>
      <c r="D173" s="60"/>
      <c r="E173" s="61"/>
      <c r="F173" s="62"/>
      <c r="G173" s="60"/>
      <c r="H173" s="64" t="str">
        <f>IF(tbCartoes[[#This Row],[📂 Categoria]]="","",SUBSTITUTE(tbCartoes[[#This Row],[📂 Categoria]]," ","_"))</f>
        <v/>
      </c>
      <c r="I173" s="273"/>
    </row>
    <row r="174" spans="1:9">
      <c r="A174" s="55"/>
      <c r="B174" s="56"/>
      <c r="C174" s="56"/>
      <c r="D174" s="56"/>
      <c r="E174" s="57"/>
      <c r="F174" s="58"/>
      <c r="G174" s="56"/>
      <c r="H174" s="63" t="str">
        <f>IF(tbCartoes[[#This Row],[📂 Categoria]]="","",SUBSTITUTE(tbCartoes[[#This Row],[📂 Categoria]]," ","_"))</f>
        <v/>
      </c>
      <c r="I174" s="272"/>
    </row>
    <row r="175" spans="1:9">
      <c r="A175" s="59"/>
      <c r="B175" s="60"/>
      <c r="C175" s="60"/>
      <c r="D175" s="60"/>
      <c r="E175" s="61"/>
      <c r="F175" s="62"/>
      <c r="G175" s="60"/>
      <c r="H175" s="64" t="str">
        <f>IF(tbCartoes[[#This Row],[📂 Categoria]]="","",SUBSTITUTE(tbCartoes[[#This Row],[📂 Categoria]]," ","_"))</f>
        <v/>
      </c>
      <c r="I175" s="273"/>
    </row>
    <row r="176" spans="1:9">
      <c r="A176" s="55"/>
      <c r="B176" s="56"/>
      <c r="C176" s="56"/>
      <c r="D176" s="56"/>
      <c r="E176" s="57"/>
      <c r="F176" s="58"/>
      <c r="G176" s="56"/>
      <c r="H176" s="63" t="str">
        <f>IF(tbCartoes[[#This Row],[📂 Categoria]]="","",SUBSTITUTE(tbCartoes[[#This Row],[📂 Categoria]]," ","_"))</f>
        <v/>
      </c>
      <c r="I176" s="272"/>
    </row>
    <row r="177" spans="1:9">
      <c r="A177" s="59"/>
      <c r="B177" s="60"/>
      <c r="C177" s="60"/>
      <c r="D177" s="60"/>
      <c r="E177" s="61"/>
      <c r="F177" s="62"/>
      <c r="G177" s="60"/>
      <c r="H177" s="64" t="str">
        <f>IF(tbCartoes[[#This Row],[📂 Categoria]]="","",SUBSTITUTE(tbCartoes[[#This Row],[📂 Categoria]]," ","_"))</f>
        <v/>
      </c>
      <c r="I177" s="273"/>
    </row>
    <row r="178" spans="1:9">
      <c r="A178" s="55"/>
      <c r="B178" s="56"/>
      <c r="C178" s="56"/>
      <c r="D178" s="56"/>
      <c r="E178" s="57"/>
      <c r="F178" s="58"/>
      <c r="G178" s="56"/>
      <c r="H178" s="63" t="str">
        <f>IF(tbCartoes[[#This Row],[📂 Categoria]]="","",SUBSTITUTE(tbCartoes[[#This Row],[📂 Categoria]]," ","_"))</f>
        <v/>
      </c>
      <c r="I178" s="272"/>
    </row>
    <row r="179" spans="1:9">
      <c r="A179" s="59"/>
      <c r="B179" s="60"/>
      <c r="C179" s="60"/>
      <c r="D179" s="60"/>
      <c r="E179" s="61"/>
      <c r="F179" s="62"/>
      <c r="G179" s="60"/>
      <c r="H179" s="64" t="str">
        <f>IF(tbCartoes[[#This Row],[📂 Categoria]]="","",SUBSTITUTE(tbCartoes[[#This Row],[📂 Categoria]]," ","_"))</f>
        <v/>
      </c>
      <c r="I179" s="273"/>
    </row>
    <row r="180" spans="1:9">
      <c r="A180" s="55"/>
      <c r="B180" s="56"/>
      <c r="C180" s="56"/>
      <c r="D180" s="56"/>
      <c r="E180" s="57"/>
      <c r="F180" s="58"/>
      <c r="G180" s="56"/>
      <c r="H180" s="63" t="str">
        <f>IF(tbCartoes[[#This Row],[📂 Categoria]]="","",SUBSTITUTE(tbCartoes[[#This Row],[📂 Categoria]]," ","_"))</f>
        <v/>
      </c>
      <c r="I180" s="272"/>
    </row>
    <row r="181" spans="1:9">
      <c r="A181" s="59"/>
      <c r="B181" s="60"/>
      <c r="C181" s="60"/>
      <c r="D181" s="60"/>
      <c r="E181" s="61"/>
      <c r="F181" s="62"/>
      <c r="G181" s="60"/>
      <c r="H181" s="64" t="str">
        <f>IF(tbCartoes[[#This Row],[📂 Categoria]]="","",SUBSTITUTE(tbCartoes[[#This Row],[📂 Categoria]]," ","_"))</f>
        <v/>
      </c>
      <c r="I181" s="273"/>
    </row>
    <row r="182" spans="1:9">
      <c r="A182" s="55"/>
      <c r="B182" s="56"/>
      <c r="C182" s="56"/>
      <c r="D182" s="56"/>
      <c r="E182" s="57"/>
      <c r="F182" s="58"/>
      <c r="G182" s="56"/>
      <c r="H182" s="63" t="str">
        <f>IF(tbCartoes[[#This Row],[📂 Categoria]]="","",SUBSTITUTE(tbCartoes[[#This Row],[📂 Categoria]]," ","_"))</f>
        <v/>
      </c>
      <c r="I182" s="272"/>
    </row>
    <row r="183" spans="1:9">
      <c r="A183" s="59"/>
      <c r="B183" s="60"/>
      <c r="C183" s="60"/>
      <c r="D183" s="60"/>
      <c r="E183" s="61"/>
      <c r="F183" s="62"/>
      <c r="G183" s="60"/>
      <c r="H183" s="64" t="str">
        <f>IF(tbCartoes[[#This Row],[📂 Categoria]]="","",SUBSTITUTE(tbCartoes[[#This Row],[📂 Categoria]]," ","_"))</f>
        <v/>
      </c>
      <c r="I183" s="273"/>
    </row>
    <row r="184" spans="1:9">
      <c r="A184" s="55"/>
      <c r="B184" s="56"/>
      <c r="C184" s="56"/>
      <c r="D184" s="56"/>
      <c r="E184" s="57"/>
      <c r="F184" s="58"/>
      <c r="G184" s="56"/>
      <c r="H184" s="63" t="str">
        <f>IF(tbCartoes[[#This Row],[📂 Categoria]]="","",SUBSTITUTE(tbCartoes[[#This Row],[📂 Categoria]]," ","_"))</f>
        <v/>
      </c>
      <c r="I184" s="272"/>
    </row>
    <row r="185" spans="1:9">
      <c r="A185" s="59"/>
      <c r="B185" s="60"/>
      <c r="C185" s="60"/>
      <c r="D185" s="60"/>
      <c r="E185" s="61"/>
      <c r="F185" s="62"/>
      <c r="G185" s="60"/>
      <c r="H185" s="64" t="str">
        <f>IF(tbCartoes[[#This Row],[📂 Categoria]]="","",SUBSTITUTE(tbCartoes[[#This Row],[📂 Categoria]]," ","_"))</f>
        <v/>
      </c>
      <c r="I185" s="273"/>
    </row>
    <row r="186" spans="1:9">
      <c r="A186" s="55"/>
      <c r="B186" s="56"/>
      <c r="C186" s="56"/>
      <c r="D186" s="56"/>
      <c r="E186" s="57"/>
      <c r="F186" s="58"/>
      <c r="G186" s="56"/>
      <c r="H186" s="63" t="str">
        <f>IF(tbCartoes[[#This Row],[📂 Categoria]]="","",SUBSTITUTE(tbCartoes[[#This Row],[📂 Categoria]]," ","_"))</f>
        <v/>
      </c>
      <c r="I186" s="272"/>
    </row>
    <row r="187" spans="1:9">
      <c r="A187" s="59"/>
      <c r="B187" s="60"/>
      <c r="C187" s="60"/>
      <c r="D187" s="60"/>
      <c r="E187" s="61"/>
      <c r="F187" s="62"/>
      <c r="G187" s="60"/>
      <c r="H187" s="64" t="str">
        <f>IF(tbCartoes[[#This Row],[📂 Categoria]]="","",SUBSTITUTE(tbCartoes[[#This Row],[📂 Categoria]]," ","_"))</f>
        <v/>
      </c>
      <c r="I187" s="273"/>
    </row>
    <row r="188" spans="1:9">
      <c r="A188" s="55"/>
      <c r="B188" s="56"/>
      <c r="C188" s="56"/>
      <c r="D188" s="56"/>
      <c r="E188" s="57"/>
      <c r="F188" s="58"/>
      <c r="G188" s="56"/>
      <c r="H188" s="63" t="str">
        <f>IF(tbCartoes[[#This Row],[📂 Categoria]]="","",SUBSTITUTE(tbCartoes[[#This Row],[📂 Categoria]]," ","_"))</f>
        <v/>
      </c>
      <c r="I188" s="272"/>
    </row>
    <row r="189" spans="1:9">
      <c r="A189" s="59"/>
      <c r="B189" s="60"/>
      <c r="C189" s="60"/>
      <c r="D189" s="60"/>
      <c r="E189" s="61"/>
      <c r="F189" s="62"/>
      <c r="G189" s="60"/>
      <c r="H189" s="64" t="str">
        <f>IF(tbCartoes[[#This Row],[📂 Categoria]]="","",SUBSTITUTE(tbCartoes[[#This Row],[📂 Categoria]]," ","_"))</f>
        <v/>
      </c>
      <c r="I189" s="273"/>
    </row>
    <row r="190" spans="1:9">
      <c r="A190" s="55"/>
      <c r="B190" s="56"/>
      <c r="C190" s="56"/>
      <c r="D190" s="56"/>
      <c r="E190" s="57"/>
      <c r="F190" s="58"/>
      <c r="G190" s="56"/>
      <c r="H190" s="63" t="str">
        <f>IF(tbCartoes[[#This Row],[📂 Categoria]]="","",SUBSTITUTE(tbCartoes[[#This Row],[📂 Categoria]]," ","_"))</f>
        <v/>
      </c>
      <c r="I190" s="272"/>
    </row>
    <row r="191" spans="1:9">
      <c r="A191" s="59"/>
      <c r="B191" s="60"/>
      <c r="C191" s="60"/>
      <c r="D191" s="60"/>
      <c r="E191" s="61"/>
      <c r="F191" s="62"/>
      <c r="G191" s="60"/>
      <c r="H191" s="64" t="str">
        <f>IF(tbCartoes[[#This Row],[📂 Categoria]]="","",SUBSTITUTE(tbCartoes[[#This Row],[📂 Categoria]]," ","_"))</f>
        <v/>
      </c>
      <c r="I191" s="273"/>
    </row>
    <row r="192" spans="1:9">
      <c r="A192" s="55"/>
      <c r="B192" s="56"/>
      <c r="C192" s="56"/>
      <c r="D192" s="56"/>
      <c r="E192" s="57"/>
      <c r="F192" s="58"/>
      <c r="G192" s="56"/>
      <c r="H192" s="63" t="str">
        <f>IF(tbCartoes[[#This Row],[📂 Categoria]]="","",SUBSTITUTE(tbCartoes[[#This Row],[📂 Categoria]]," ","_"))</f>
        <v/>
      </c>
      <c r="I192" s="272"/>
    </row>
    <row r="193" spans="1:9">
      <c r="A193" s="59"/>
      <c r="B193" s="60"/>
      <c r="C193" s="60"/>
      <c r="D193" s="60"/>
      <c r="E193" s="61"/>
      <c r="F193" s="62"/>
      <c r="G193" s="60"/>
      <c r="H193" s="64" t="str">
        <f>IF(tbCartoes[[#This Row],[📂 Categoria]]="","",SUBSTITUTE(tbCartoes[[#This Row],[📂 Categoria]]," ","_"))</f>
        <v/>
      </c>
      <c r="I193" s="273"/>
    </row>
    <row r="194" spans="1:9">
      <c r="A194" s="55"/>
      <c r="B194" s="56"/>
      <c r="C194" s="56"/>
      <c r="D194" s="56"/>
      <c r="E194" s="57"/>
      <c r="F194" s="58"/>
      <c r="G194" s="56"/>
      <c r="H194" s="63" t="str">
        <f>IF(tbCartoes[[#This Row],[📂 Categoria]]="","",SUBSTITUTE(tbCartoes[[#This Row],[📂 Categoria]]," ","_"))</f>
        <v/>
      </c>
      <c r="I194" s="272"/>
    </row>
    <row r="195" spans="1:9">
      <c r="A195" s="59"/>
      <c r="B195" s="60"/>
      <c r="C195" s="60"/>
      <c r="D195" s="60"/>
      <c r="E195" s="61"/>
      <c r="F195" s="62"/>
      <c r="G195" s="60"/>
      <c r="H195" s="64" t="str">
        <f>IF(tbCartoes[[#This Row],[📂 Categoria]]="","",SUBSTITUTE(tbCartoes[[#This Row],[📂 Categoria]]," ","_"))</f>
        <v/>
      </c>
      <c r="I195" s="273"/>
    </row>
    <row r="196" spans="1:9">
      <c r="A196" s="55"/>
      <c r="B196" s="56"/>
      <c r="C196" s="56"/>
      <c r="D196" s="56"/>
      <c r="E196" s="57"/>
      <c r="F196" s="58"/>
      <c r="G196" s="56"/>
      <c r="H196" s="63" t="str">
        <f>IF(tbCartoes[[#This Row],[📂 Categoria]]="","",SUBSTITUTE(tbCartoes[[#This Row],[📂 Categoria]]," ","_"))</f>
        <v/>
      </c>
      <c r="I196" s="272"/>
    </row>
    <row r="197" spans="1:9">
      <c r="A197" s="59"/>
      <c r="B197" s="60"/>
      <c r="C197" s="60"/>
      <c r="D197" s="60"/>
      <c r="E197" s="61"/>
      <c r="F197" s="62"/>
      <c r="G197" s="60"/>
      <c r="H197" s="64" t="str">
        <f>IF(tbCartoes[[#This Row],[📂 Categoria]]="","",SUBSTITUTE(tbCartoes[[#This Row],[📂 Categoria]]," ","_"))</f>
        <v/>
      </c>
      <c r="I197" s="273"/>
    </row>
    <row r="198" spans="1:9">
      <c r="A198" s="55"/>
      <c r="B198" s="56"/>
      <c r="C198" s="56"/>
      <c r="D198" s="56"/>
      <c r="E198" s="57"/>
      <c r="F198" s="58"/>
      <c r="G198" s="56"/>
      <c r="H198" s="63" t="str">
        <f>IF(tbCartoes[[#This Row],[📂 Categoria]]="","",SUBSTITUTE(tbCartoes[[#This Row],[📂 Categoria]]," ","_"))</f>
        <v/>
      </c>
      <c r="I198" s="272"/>
    </row>
    <row r="199" spans="1:9">
      <c r="A199" s="59"/>
      <c r="B199" s="60"/>
      <c r="C199" s="60"/>
      <c r="D199" s="60"/>
      <c r="E199" s="61"/>
      <c r="F199" s="62"/>
      <c r="G199" s="60"/>
      <c r="H199" s="64" t="str">
        <f>IF(tbCartoes[[#This Row],[📂 Categoria]]="","",SUBSTITUTE(tbCartoes[[#This Row],[📂 Categoria]]," ","_"))</f>
        <v/>
      </c>
      <c r="I199" s="273"/>
    </row>
    <row r="200" spans="1:9">
      <c r="A200" s="55"/>
      <c r="B200" s="56"/>
      <c r="C200" s="56"/>
      <c r="D200" s="56"/>
      <c r="E200" s="57"/>
      <c r="F200" s="58"/>
      <c r="G200" s="56"/>
      <c r="H200" s="63" t="str">
        <f>IF(tbCartoes[[#This Row],[📂 Categoria]]="","",SUBSTITUTE(tbCartoes[[#This Row],[📂 Categoria]]," ","_"))</f>
        <v/>
      </c>
      <c r="I200" s="272"/>
    </row>
    <row r="201" spans="1:9">
      <c r="A201" s="59"/>
      <c r="B201" s="60"/>
      <c r="C201" s="60"/>
      <c r="D201" s="60"/>
      <c r="E201" s="61"/>
      <c r="F201" s="62"/>
      <c r="G201" s="60"/>
      <c r="H201" s="64" t="str">
        <f>IF(tbCartoes[[#This Row],[📂 Categoria]]="","",SUBSTITUTE(tbCartoes[[#This Row],[📂 Categoria]]," ","_"))</f>
        <v/>
      </c>
      <c r="I201" s="273"/>
    </row>
    <row r="202" spans="1:9">
      <c r="A202" s="55"/>
      <c r="B202" s="56"/>
      <c r="C202" s="56"/>
      <c r="D202" s="56"/>
      <c r="E202" s="57"/>
      <c r="F202" s="58"/>
      <c r="G202" s="56"/>
      <c r="H202" s="63" t="str">
        <f>IF(tbCartoes[[#This Row],[📂 Categoria]]="","",SUBSTITUTE(tbCartoes[[#This Row],[📂 Categoria]]," ","_"))</f>
        <v/>
      </c>
      <c r="I202" s="272"/>
    </row>
    <row r="203" spans="1:9">
      <c r="A203" s="59"/>
      <c r="B203" s="60"/>
      <c r="C203" s="60"/>
      <c r="D203" s="60"/>
      <c r="E203" s="61"/>
      <c r="F203" s="62"/>
      <c r="G203" s="60"/>
      <c r="H203" s="64" t="str">
        <f>IF(tbCartoes[[#This Row],[📂 Categoria]]="","",SUBSTITUTE(tbCartoes[[#This Row],[📂 Categoria]]," ","_"))</f>
        <v/>
      </c>
      <c r="I203" s="273"/>
    </row>
    <row r="204" spans="1:9">
      <c r="A204" s="55"/>
      <c r="B204" s="56"/>
      <c r="C204" s="56"/>
      <c r="D204" s="56"/>
      <c r="E204" s="57"/>
      <c r="F204" s="58"/>
      <c r="G204" s="56"/>
      <c r="H204" s="63" t="str">
        <f>IF(tbCartoes[[#This Row],[📂 Categoria]]="","",SUBSTITUTE(tbCartoes[[#This Row],[📂 Categoria]]," ","_"))</f>
        <v/>
      </c>
      <c r="I204" s="272"/>
    </row>
    <row r="205" spans="1:9">
      <c r="A205" s="59"/>
      <c r="B205" s="60"/>
      <c r="C205" s="60"/>
      <c r="D205" s="60"/>
      <c r="E205" s="61"/>
      <c r="F205" s="62"/>
      <c r="G205" s="60"/>
      <c r="H205" s="64" t="str">
        <f>IF(tbCartoes[[#This Row],[📂 Categoria]]="","",SUBSTITUTE(tbCartoes[[#This Row],[📂 Categoria]]," ","_"))</f>
        <v/>
      </c>
      <c r="I205" s="273"/>
    </row>
    <row r="206" spans="1:9">
      <c r="A206" s="55"/>
      <c r="B206" s="56"/>
      <c r="C206" s="56"/>
      <c r="D206" s="56"/>
      <c r="E206" s="57"/>
      <c r="F206" s="58"/>
      <c r="G206" s="56"/>
      <c r="H206" s="63" t="str">
        <f>IF(tbCartoes[[#This Row],[📂 Categoria]]="","",SUBSTITUTE(tbCartoes[[#This Row],[📂 Categoria]]," ","_"))</f>
        <v/>
      </c>
      <c r="I206" s="272"/>
    </row>
    <row r="207" spans="1:9">
      <c r="A207" s="59"/>
      <c r="B207" s="60"/>
      <c r="C207" s="60"/>
      <c r="D207" s="60"/>
      <c r="E207" s="61"/>
      <c r="F207" s="62"/>
      <c r="G207" s="60"/>
      <c r="H207" s="64" t="str">
        <f>IF(tbCartoes[[#This Row],[📂 Categoria]]="","",SUBSTITUTE(tbCartoes[[#This Row],[📂 Categoria]]," ","_"))</f>
        <v/>
      </c>
      <c r="I207" s="273"/>
    </row>
    <row r="208" spans="1:9">
      <c r="A208" s="55"/>
      <c r="B208" s="56"/>
      <c r="C208" s="56"/>
      <c r="D208" s="56"/>
      <c r="E208" s="57"/>
      <c r="F208" s="58"/>
      <c r="G208" s="56"/>
      <c r="H208" s="63" t="str">
        <f>IF(tbCartoes[[#This Row],[📂 Categoria]]="","",SUBSTITUTE(tbCartoes[[#This Row],[📂 Categoria]]," ","_"))</f>
        <v/>
      </c>
      <c r="I208" s="272"/>
    </row>
    <row r="209" spans="1:9">
      <c r="A209" s="59"/>
      <c r="B209" s="60"/>
      <c r="C209" s="60"/>
      <c r="D209" s="60"/>
      <c r="E209" s="61"/>
      <c r="F209" s="62"/>
      <c r="G209" s="60"/>
      <c r="H209" s="64" t="str">
        <f>IF(tbCartoes[[#This Row],[📂 Categoria]]="","",SUBSTITUTE(tbCartoes[[#This Row],[📂 Categoria]]," ","_"))</f>
        <v/>
      </c>
      <c r="I209" s="273"/>
    </row>
    <row r="210" spans="1:9">
      <c r="A210" s="55"/>
      <c r="B210" s="56"/>
      <c r="C210" s="56"/>
      <c r="D210" s="56"/>
      <c r="E210" s="57"/>
      <c r="F210" s="58"/>
      <c r="G210" s="56"/>
      <c r="H210" s="63" t="str">
        <f>IF(tbCartoes[[#This Row],[📂 Categoria]]="","",SUBSTITUTE(tbCartoes[[#This Row],[📂 Categoria]]," ","_"))</f>
        <v/>
      </c>
      <c r="I210" s="272"/>
    </row>
    <row r="211" spans="1:9">
      <c r="A211" s="59"/>
      <c r="B211" s="60"/>
      <c r="C211" s="60"/>
      <c r="D211" s="60"/>
      <c r="E211" s="61"/>
      <c r="F211" s="62"/>
      <c r="G211" s="60"/>
      <c r="H211" s="64" t="str">
        <f>IF(tbCartoes[[#This Row],[📂 Categoria]]="","",SUBSTITUTE(tbCartoes[[#This Row],[📂 Categoria]]," ","_"))</f>
        <v/>
      </c>
      <c r="I211" s="273"/>
    </row>
    <row r="212" spans="1:9">
      <c r="A212" s="55"/>
      <c r="B212" s="56"/>
      <c r="C212" s="56"/>
      <c r="D212" s="56"/>
      <c r="E212" s="57"/>
      <c r="F212" s="58"/>
      <c r="G212" s="56"/>
      <c r="H212" s="63" t="str">
        <f>IF(tbCartoes[[#This Row],[📂 Categoria]]="","",SUBSTITUTE(tbCartoes[[#This Row],[📂 Categoria]]," ","_"))</f>
        <v/>
      </c>
      <c r="I212" s="272"/>
    </row>
    <row r="213" spans="1:9">
      <c r="A213" s="59"/>
      <c r="B213" s="60"/>
      <c r="C213" s="60"/>
      <c r="D213" s="60"/>
      <c r="E213" s="61"/>
      <c r="F213" s="62"/>
      <c r="G213" s="60"/>
      <c r="H213" s="64" t="str">
        <f>IF(tbCartoes[[#This Row],[📂 Categoria]]="","",SUBSTITUTE(tbCartoes[[#This Row],[📂 Categoria]]," ","_"))</f>
        <v/>
      </c>
      <c r="I213" s="273"/>
    </row>
    <row r="214" spans="1:9">
      <c r="A214" s="55"/>
      <c r="B214" s="56"/>
      <c r="C214" s="56"/>
      <c r="D214" s="56"/>
      <c r="E214" s="57"/>
      <c r="F214" s="58"/>
      <c r="G214" s="56"/>
      <c r="H214" s="63" t="str">
        <f>IF(tbCartoes[[#This Row],[📂 Categoria]]="","",SUBSTITUTE(tbCartoes[[#This Row],[📂 Categoria]]," ","_"))</f>
        <v/>
      </c>
      <c r="I214" s="272"/>
    </row>
    <row r="215" spans="1:9">
      <c r="A215" s="59"/>
      <c r="B215" s="60"/>
      <c r="C215" s="60"/>
      <c r="D215" s="60"/>
      <c r="E215" s="61"/>
      <c r="F215" s="62"/>
      <c r="G215" s="60"/>
      <c r="H215" s="64" t="str">
        <f>IF(tbCartoes[[#This Row],[📂 Categoria]]="","",SUBSTITUTE(tbCartoes[[#This Row],[📂 Categoria]]," ","_"))</f>
        <v/>
      </c>
      <c r="I215" s="273"/>
    </row>
    <row r="216" spans="1:9">
      <c r="A216" s="55"/>
      <c r="B216" s="56"/>
      <c r="C216" s="56"/>
      <c r="D216" s="56"/>
      <c r="E216" s="57"/>
      <c r="F216" s="58"/>
      <c r="G216" s="56"/>
      <c r="H216" s="63" t="str">
        <f>IF(tbCartoes[[#This Row],[📂 Categoria]]="","",SUBSTITUTE(tbCartoes[[#This Row],[📂 Categoria]]," ","_"))</f>
        <v/>
      </c>
      <c r="I216" s="272"/>
    </row>
    <row r="217" spans="1:9">
      <c r="A217" s="59"/>
      <c r="B217" s="60"/>
      <c r="C217" s="60"/>
      <c r="D217" s="60"/>
      <c r="E217" s="61"/>
      <c r="F217" s="62"/>
      <c r="G217" s="60"/>
      <c r="H217" s="64" t="str">
        <f>IF(tbCartoes[[#This Row],[📂 Categoria]]="","",SUBSTITUTE(tbCartoes[[#This Row],[📂 Categoria]]," ","_"))</f>
        <v/>
      </c>
      <c r="I217" s="273"/>
    </row>
    <row r="218" spans="1:9">
      <c r="A218" s="55"/>
      <c r="B218" s="56"/>
      <c r="C218" s="56"/>
      <c r="D218" s="56"/>
      <c r="E218" s="57"/>
      <c r="F218" s="58"/>
      <c r="G218" s="56"/>
      <c r="H218" s="63" t="str">
        <f>IF(tbCartoes[[#This Row],[📂 Categoria]]="","",SUBSTITUTE(tbCartoes[[#This Row],[📂 Categoria]]," ","_"))</f>
        <v/>
      </c>
      <c r="I218" s="272"/>
    </row>
    <row r="219" spans="1:9">
      <c r="A219" s="59"/>
      <c r="B219" s="60"/>
      <c r="C219" s="60"/>
      <c r="D219" s="60"/>
      <c r="E219" s="61"/>
      <c r="F219" s="62"/>
      <c r="G219" s="60"/>
      <c r="H219" s="64" t="str">
        <f>IF(tbCartoes[[#This Row],[📂 Categoria]]="","",SUBSTITUTE(tbCartoes[[#This Row],[📂 Categoria]]," ","_"))</f>
        <v/>
      </c>
      <c r="I219" s="273"/>
    </row>
    <row r="220" spans="1:9">
      <c r="A220" s="55"/>
      <c r="B220" s="56"/>
      <c r="C220" s="56"/>
      <c r="D220" s="56"/>
      <c r="E220" s="57"/>
      <c r="F220" s="58"/>
      <c r="G220" s="56"/>
      <c r="H220" s="63" t="str">
        <f>IF(tbCartoes[[#This Row],[📂 Categoria]]="","",SUBSTITUTE(tbCartoes[[#This Row],[📂 Categoria]]," ","_"))</f>
        <v/>
      </c>
      <c r="I220" s="272"/>
    </row>
    <row r="221" spans="1:9">
      <c r="A221" s="59"/>
      <c r="B221" s="60"/>
      <c r="C221" s="60"/>
      <c r="D221" s="60"/>
      <c r="E221" s="61"/>
      <c r="F221" s="62"/>
      <c r="G221" s="60"/>
      <c r="H221" s="64" t="str">
        <f>IF(tbCartoes[[#This Row],[📂 Categoria]]="","",SUBSTITUTE(tbCartoes[[#This Row],[📂 Categoria]]," ","_"))</f>
        <v/>
      </c>
      <c r="I221" s="273"/>
    </row>
    <row r="222" spans="1:9">
      <c r="A222" s="55"/>
      <c r="B222" s="56"/>
      <c r="C222" s="56"/>
      <c r="D222" s="56"/>
      <c r="E222" s="57"/>
      <c r="F222" s="58"/>
      <c r="G222" s="56"/>
      <c r="H222" s="63" t="str">
        <f>IF(tbCartoes[[#This Row],[📂 Categoria]]="","",SUBSTITUTE(tbCartoes[[#This Row],[📂 Categoria]]," ","_"))</f>
        <v/>
      </c>
      <c r="I222" s="272"/>
    </row>
    <row r="223" spans="1:9">
      <c r="A223" s="59"/>
      <c r="B223" s="60"/>
      <c r="C223" s="60"/>
      <c r="D223" s="60"/>
      <c r="E223" s="61"/>
      <c r="F223" s="62"/>
      <c r="G223" s="60"/>
      <c r="H223" s="64" t="str">
        <f>IF(tbCartoes[[#This Row],[📂 Categoria]]="","",SUBSTITUTE(tbCartoes[[#This Row],[📂 Categoria]]," ","_"))</f>
        <v/>
      </c>
      <c r="I223" s="273"/>
    </row>
    <row r="224" spans="1:9">
      <c r="A224" s="55"/>
      <c r="B224" s="56"/>
      <c r="C224" s="56"/>
      <c r="D224" s="56"/>
      <c r="E224" s="57"/>
      <c r="F224" s="58"/>
      <c r="G224" s="56"/>
      <c r="H224" s="63" t="str">
        <f>IF(tbCartoes[[#This Row],[📂 Categoria]]="","",SUBSTITUTE(tbCartoes[[#This Row],[📂 Categoria]]," ","_"))</f>
        <v/>
      </c>
      <c r="I224" s="272"/>
    </row>
    <row r="225" spans="1:9">
      <c r="A225" s="59"/>
      <c r="B225" s="60"/>
      <c r="C225" s="60"/>
      <c r="D225" s="60"/>
      <c r="E225" s="61"/>
      <c r="F225" s="62"/>
      <c r="G225" s="60"/>
      <c r="H225" s="64" t="str">
        <f>IF(tbCartoes[[#This Row],[📂 Categoria]]="","",SUBSTITUTE(tbCartoes[[#This Row],[📂 Categoria]]," ","_"))</f>
        <v/>
      </c>
      <c r="I225" s="273"/>
    </row>
    <row r="226" spans="1:9">
      <c r="A226" s="55"/>
      <c r="B226" s="56"/>
      <c r="C226" s="56"/>
      <c r="D226" s="56"/>
      <c r="E226" s="57"/>
      <c r="F226" s="58"/>
      <c r="G226" s="56"/>
      <c r="H226" s="63" t="str">
        <f>IF(tbCartoes[[#This Row],[📂 Categoria]]="","",SUBSTITUTE(tbCartoes[[#This Row],[📂 Categoria]]," ","_"))</f>
        <v/>
      </c>
      <c r="I226" s="272"/>
    </row>
    <row r="227" spans="1:9">
      <c r="A227" s="59"/>
      <c r="B227" s="60"/>
      <c r="C227" s="60"/>
      <c r="D227" s="60"/>
      <c r="E227" s="61"/>
      <c r="F227" s="62"/>
      <c r="G227" s="60"/>
      <c r="H227" s="64" t="str">
        <f>IF(tbCartoes[[#This Row],[📂 Categoria]]="","",SUBSTITUTE(tbCartoes[[#This Row],[📂 Categoria]]," ","_"))</f>
        <v/>
      </c>
      <c r="I227" s="273"/>
    </row>
    <row r="228" spans="1:9">
      <c r="A228" s="55"/>
      <c r="B228" s="56"/>
      <c r="C228" s="56"/>
      <c r="D228" s="56"/>
      <c r="E228" s="57"/>
      <c r="F228" s="58"/>
      <c r="G228" s="56"/>
      <c r="H228" s="63" t="str">
        <f>IF(tbCartoes[[#This Row],[📂 Categoria]]="","",SUBSTITUTE(tbCartoes[[#This Row],[📂 Categoria]]," ","_"))</f>
        <v/>
      </c>
      <c r="I228" s="272"/>
    </row>
    <row r="229" spans="1:9">
      <c r="A229" s="59"/>
      <c r="B229" s="60"/>
      <c r="C229" s="60"/>
      <c r="D229" s="60"/>
      <c r="E229" s="61"/>
      <c r="F229" s="62"/>
      <c r="G229" s="60"/>
      <c r="H229" s="64" t="str">
        <f>IF(tbCartoes[[#This Row],[📂 Categoria]]="","",SUBSTITUTE(tbCartoes[[#This Row],[📂 Categoria]]," ","_"))</f>
        <v/>
      </c>
      <c r="I229" s="273"/>
    </row>
    <row r="230" spans="1:9">
      <c r="A230" s="55"/>
      <c r="B230" s="56"/>
      <c r="C230" s="56"/>
      <c r="D230" s="56"/>
      <c r="E230" s="57"/>
      <c r="F230" s="58"/>
      <c r="G230" s="56"/>
      <c r="H230" s="63" t="str">
        <f>IF(tbCartoes[[#This Row],[📂 Categoria]]="","",SUBSTITUTE(tbCartoes[[#This Row],[📂 Categoria]]," ","_"))</f>
        <v/>
      </c>
      <c r="I230" s="272"/>
    </row>
    <row r="231" spans="1:9">
      <c r="A231" s="59"/>
      <c r="B231" s="60"/>
      <c r="C231" s="60"/>
      <c r="D231" s="60"/>
      <c r="E231" s="61"/>
      <c r="F231" s="62"/>
      <c r="G231" s="60"/>
      <c r="H231" s="64" t="str">
        <f>IF(tbCartoes[[#This Row],[📂 Categoria]]="","",SUBSTITUTE(tbCartoes[[#This Row],[📂 Categoria]]," ","_"))</f>
        <v/>
      </c>
      <c r="I231" s="273"/>
    </row>
    <row r="232" spans="1:9">
      <c r="A232" s="55"/>
      <c r="B232" s="56"/>
      <c r="C232" s="56"/>
      <c r="D232" s="56"/>
      <c r="E232" s="57"/>
      <c r="F232" s="58"/>
      <c r="G232" s="56"/>
      <c r="H232" s="63" t="str">
        <f>IF(tbCartoes[[#This Row],[📂 Categoria]]="","",SUBSTITUTE(tbCartoes[[#This Row],[📂 Categoria]]," ","_"))</f>
        <v/>
      </c>
      <c r="I232" s="272"/>
    </row>
    <row r="233" spans="1:9">
      <c r="A233" s="59"/>
      <c r="B233" s="60"/>
      <c r="C233" s="60"/>
      <c r="D233" s="60"/>
      <c r="E233" s="61"/>
      <c r="F233" s="62"/>
      <c r="G233" s="60"/>
      <c r="H233" s="64" t="str">
        <f>IF(tbCartoes[[#This Row],[📂 Categoria]]="","",SUBSTITUTE(tbCartoes[[#This Row],[📂 Categoria]]," ","_"))</f>
        <v/>
      </c>
      <c r="I233" s="273"/>
    </row>
    <row r="234" spans="1:9">
      <c r="A234" s="55"/>
      <c r="B234" s="56"/>
      <c r="C234" s="56"/>
      <c r="D234" s="56"/>
      <c r="E234" s="57"/>
      <c r="F234" s="58"/>
      <c r="G234" s="56"/>
      <c r="H234" s="63" t="str">
        <f>IF(tbCartoes[[#This Row],[📂 Categoria]]="","",SUBSTITUTE(tbCartoes[[#This Row],[📂 Categoria]]," ","_"))</f>
        <v/>
      </c>
      <c r="I234" s="272"/>
    </row>
    <row r="235" spans="1:9">
      <c r="A235" s="59"/>
      <c r="B235" s="60"/>
      <c r="C235" s="60"/>
      <c r="D235" s="60"/>
      <c r="E235" s="61"/>
      <c r="F235" s="62"/>
      <c r="G235" s="60"/>
      <c r="H235" s="64" t="str">
        <f>IF(tbCartoes[[#This Row],[📂 Categoria]]="","",SUBSTITUTE(tbCartoes[[#This Row],[📂 Categoria]]," ","_"))</f>
        <v/>
      </c>
      <c r="I235" s="273"/>
    </row>
    <row r="236" spans="1:9">
      <c r="A236" s="55"/>
      <c r="B236" s="56"/>
      <c r="C236" s="56"/>
      <c r="D236" s="56"/>
      <c r="E236" s="57"/>
      <c r="F236" s="58"/>
      <c r="G236" s="56"/>
      <c r="H236" s="63" t="str">
        <f>IF(tbCartoes[[#This Row],[📂 Categoria]]="","",SUBSTITUTE(tbCartoes[[#This Row],[📂 Categoria]]," ","_"))</f>
        <v/>
      </c>
      <c r="I236" s="272"/>
    </row>
    <row r="237" spans="1:9">
      <c r="A237" s="59"/>
      <c r="B237" s="60"/>
      <c r="C237" s="60"/>
      <c r="D237" s="60"/>
      <c r="E237" s="61"/>
      <c r="F237" s="62"/>
      <c r="G237" s="60"/>
      <c r="H237" s="64" t="str">
        <f>IF(tbCartoes[[#This Row],[📂 Categoria]]="","",SUBSTITUTE(tbCartoes[[#This Row],[📂 Categoria]]," ","_"))</f>
        <v/>
      </c>
      <c r="I237" s="273"/>
    </row>
    <row r="238" spans="1:9">
      <c r="A238" s="55"/>
      <c r="B238" s="56"/>
      <c r="C238" s="56"/>
      <c r="D238" s="56"/>
      <c r="E238" s="57"/>
      <c r="F238" s="58"/>
      <c r="G238" s="56"/>
      <c r="H238" s="63" t="str">
        <f>IF(tbCartoes[[#This Row],[📂 Categoria]]="","",SUBSTITUTE(tbCartoes[[#This Row],[📂 Categoria]]," ","_"))</f>
        <v/>
      </c>
      <c r="I238" s="272"/>
    </row>
    <row r="239" spans="1:9">
      <c r="A239" s="59"/>
      <c r="B239" s="60"/>
      <c r="C239" s="60"/>
      <c r="D239" s="60"/>
      <c r="E239" s="61"/>
      <c r="F239" s="62"/>
      <c r="G239" s="60"/>
      <c r="H239" s="64" t="str">
        <f>IF(tbCartoes[[#This Row],[📂 Categoria]]="","",SUBSTITUTE(tbCartoes[[#This Row],[📂 Categoria]]," ","_"))</f>
        <v/>
      </c>
      <c r="I239" s="273"/>
    </row>
    <row r="240" spans="1:9">
      <c r="A240" s="55"/>
      <c r="B240" s="56"/>
      <c r="C240" s="56"/>
      <c r="D240" s="56"/>
      <c r="E240" s="57"/>
      <c r="F240" s="58"/>
      <c r="G240" s="56"/>
      <c r="H240" s="63" t="str">
        <f>IF(tbCartoes[[#This Row],[📂 Categoria]]="","",SUBSTITUTE(tbCartoes[[#This Row],[📂 Categoria]]," ","_"))</f>
        <v/>
      </c>
      <c r="I240" s="272"/>
    </row>
    <row r="241" spans="1:9">
      <c r="A241" s="59"/>
      <c r="B241" s="60"/>
      <c r="C241" s="60"/>
      <c r="D241" s="60"/>
      <c r="E241" s="61"/>
      <c r="F241" s="62"/>
      <c r="G241" s="60"/>
      <c r="H241" s="64" t="str">
        <f>IF(tbCartoes[[#This Row],[📂 Categoria]]="","",SUBSTITUTE(tbCartoes[[#This Row],[📂 Categoria]]," ","_"))</f>
        <v/>
      </c>
      <c r="I241" s="273"/>
    </row>
    <row r="242" spans="1:9">
      <c r="A242" s="55"/>
      <c r="B242" s="56"/>
      <c r="C242" s="56"/>
      <c r="D242" s="56"/>
      <c r="E242" s="57"/>
      <c r="F242" s="58"/>
      <c r="G242" s="56"/>
      <c r="H242" s="63" t="str">
        <f>IF(tbCartoes[[#This Row],[📂 Categoria]]="","",SUBSTITUTE(tbCartoes[[#This Row],[📂 Categoria]]," ","_"))</f>
        <v/>
      </c>
      <c r="I242" s="272"/>
    </row>
    <row r="243" spans="1:9">
      <c r="A243" s="59"/>
      <c r="B243" s="60"/>
      <c r="C243" s="60"/>
      <c r="D243" s="60"/>
      <c r="E243" s="61"/>
      <c r="F243" s="62"/>
      <c r="G243" s="60"/>
      <c r="H243" s="64" t="str">
        <f>IF(tbCartoes[[#This Row],[📂 Categoria]]="","",SUBSTITUTE(tbCartoes[[#This Row],[📂 Categoria]]," ","_"))</f>
        <v/>
      </c>
      <c r="I243" s="273"/>
    </row>
    <row r="244" spans="1:9">
      <c r="A244" s="55"/>
      <c r="B244" s="56"/>
      <c r="C244" s="56"/>
      <c r="D244" s="56"/>
      <c r="E244" s="57"/>
      <c r="F244" s="58"/>
      <c r="G244" s="56"/>
      <c r="H244" s="63" t="str">
        <f>IF(tbCartoes[[#This Row],[📂 Categoria]]="","",SUBSTITUTE(tbCartoes[[#This Row],[📂 Categoria]]," ","_"))</f>
        <v/>
      </c>
      <c r="I244" s="272"/>
    </row>
    <row r="245" spans="1:9">
      <c r="A245" s="59"/>
      <c r="B245" s="60"/>
      <c r="C245" s="60"/>
      <c r="D245" s="60"/>
      <c r="E245" s="61"/>
      <c r="F245" s="62"/>
      <c r="G245" s="60"/>
      <c r="H245" s="64" t="str">
        <f>IF(tbCartoes[[#This Row],[📂 Categoria]]="","",SUBSTITUTE(tbCartoes[[#This Row],[📂 Categoria]]," ","_"))</f>
        <v/>
      </c>
      <c r="I245" s="273"/>
    </row>
    <row r="246" spans="1:9">
      <c r="A246" s="55"/>
      <c r="B246" s="56"/>
      <c r="C246" s="56"/>
      <c r="D246" s="56"/>
      <c r="E246" s="57"/>
      <c r="F246" s="58"/>
      <c r="G246" s="56"/>
      <c r="H246" s="63" t="str">
        <f>IF(tbCartoes[[#This Row],[📂 Categoria]]="","",SUBSTITUTE(tbCartoes[[#This Row],[📂 Categoria]]," ","_"))</f>
        <v/>
      </c>
      <c r="I246" s="272"/>
    </row>
    <row r="247" spans="1:9">
      <c r="A247" s="59"/>
      <c r="B247" s="60"/>
      <c r="C247" s="60"/>
      <c r="D247" s="60"/>
      <c r="E247" s="61"/>
      <c r="F247" s="62"/>
      <c r="G247" s="60"/>
      <c r="H247" s="64" t="str">
        <f>IF(tbCartoes[[#This Row],[📂 Categoria]]="","",SUBSTITUTE(tbCartoes[[#This Row],[📂 Categoria]]," ","_"))</f>
        <v/>
      </c>
      <c r="I247" s="273"/>
    </row>
    <row r="248" spans="1:9">
      <c r="A248" s="55"/>
      <c r="B248" s="56"/>
      <c r="C248" s="56"/>
      <c r="D248" s="56"/>
      <c r="E248" s="57"/>
      <c r="F248" s="58"/>
      <c r="G248" s="56"/>
      <c r="H248" s="63" t="str">
        <f>IF(tbCartoes[[#This Row],[📂 Categoria]]="","",SUBSTITUTE(tbCartoes[[#This Row],[📂 Categoria]]," ","_"))</f>
        <v/>
      </c>
      <c r="I248" s="272"/>
    </row>
    <row r="249" spans="1:9">
      <c r="A249" s="59"/>
      <c r="B249" s="60"/>
      <c r="C249" s="60"/>
      <c r="D249" s="60"/>
      <c r="E249" s="61"/>
      <c r="F249" s="62"/>
      <c r="G249" s="60"/>
      <c r="H249" s="64" t="str">
        <f>IF(tbCartoes[[#This Row],[📂 Categoria]]="","",SUBSTITUTE(tbCartoes[[#This Row],[📂 Categoria]]," ","_"))</f>
        <v/>
      </c>
      <c r="I249" s="273"/>
    </row>
    <row r="250" spans="1:9">
      <c r="A250" s="55"/>
      <c r="B250" s="56"/>
      <c r="C250" s="56"/>
      <c r="D250" s="56"/>
      <c r="E250" s="57"/>
      <c r="F250" s="58"/>
      <c r="G250" s="56"/>
      <c r="H250" s="63" t="str">
        <f>IF(tbCartoes[[#This Row],[📂 Categoria]]="","",SUBSTITUTE(tbCartoes[[#This Row],[📂 Categoria]]," ","_"))</f>
        <v/>
      </c>
      <c r="I250" s="272"/>
    </row>
    <row r="251" spans="1:9">
      <c r="A251" s="59"/>
      <c r="B251" s="60"/>
      <c r="C251" s="60"/>
      <c r="D251" s="60"/>
      <c r="E251" s="61"/>
      <c r="F251" s="62"/>
      <c r="G251" s="60"/>
      <c r="H251" s="64" t="str">
        <f>IF(tbCartoes[[#This Row],[📂 Categoria]]="","",SUBSTITUTE(tbCartoes[[#This Row],[📂 Categoria]]," ","_"))</f>
        <v/>
      </c>
      <c r="I251" s="273"/>
    </row>
    <row r="252" spans="1:9">
      <c r="A252" s="55"/>
      <c r="B252" s="56"/>
      <c r="C252" s="56"/>
      <c r="D252" s="56"/>
      <c r="E252" s="57"/>
      <c r="F252" s="58"/>
      <c r="G252" s="56"/>
      <c r="H252" s="63" t="str">
        <f>IF(tbCartoes[[#This Row],[📂 Categoria]]="","",SUBSTITUTE(tbCartoes[[#This Row],[📂 Categoria]]," ","_"))</f>
        <v/>
      </c>
      <c r="I252" s="272"/>
    </row>
    <row r="253" spans="1:9">
      <c r="A253" s="59"/>
      <c r="B253" s="60"/>
      <c r="C253" s="60"/>
      <c r="D253" s="60"/>
      <c r="E253" s="61"/>
      <c r="F253" s="62"/>
      <c r="G253" s="60"/>
      <c r="H253" s="64" t="str">
        <f>IF(tbCartoes[[#This Row],[📂 Categoria]]="","",SUBSTITUTE(tbCartoes[[#This Row],[📂 Categoria]]," ","_"))</f>
        <v/>
      </c>
      <c r="I253" s="273"/>
    </row>
    <row r="254" spans="1:9">
      <c r="A254" s="55"/>
      <c r="B254" s="56"/>
      <c r="C254" s="56"/>
      <c r="D254" s="56"/>
      <c r="E254" s="57"/>
      <c r="F254" s="58"/>
      <c r="G254" s="56"/>
      <c r="H254" s="63" t="str">
        <f>IF(tbCartoes[[#This Row],[📂 Categoria]]="","",SUBSTITUTE(tbCartoes[[#This Row],[📂 Categoria]]," ","_"))</f>
        <v/>
      </c>
      <c r="I254" s="272"/>
    </row>
    <row r="255" spans="1:9">
      <c r="A255" s="59"/>
      <c r="B255" s="60"/>
      <c r="C255" s="60"/>
      <c r="D255" s="60"/>
      <c r="E255" s="61"/>
      <c r="F255" s="62"/>
      <c r="G255" s="60"/>
      <c r="H255" s="64" t="str">
        <f>IF(tbCartoes[[#This Row],[📂 Categoria]]="","",SUBSTITUTE(tbCartoes[[#This Row],[📂 Categoria]]," ","_"))</f>
        <v/>
      </c>
      <c r="I255" s="273"/>
    </row>
    <row r="256" spans="1:9">
      <c r="A256" s="55"/>
      <c r="B256" s="56"/>
      <c r="C256" s="56"/>
      <c r="D256" s="56"/>
      <c r="E256" s="57"/>
      <c r="F256" s="58"/>
      <c r="G256" s="56"/>
      <c r="H256" s="63" t="str">
        <f>IF(tbCartoes[[#This Row],[📂 Categoria]]="","",SUBSTITUTE(tbCartoes[[#This Row],[📂 Categoria]]," ","_"))</f>
        <v/>
      </c>
      <c r="I256" s="272"/>
    </row>
    <row r="257" spans="1:9">
      <c r="A257" s="59"/>
      <c r="B257" s="60"/>
      <c r="C257" s="60"/>
      <c r="D257" s="60"/>
      <c r="E257" s="61"/>
      <c r="F257" s="62"/>
      <c r="G257" s="60"/>
      <c r="H257" s="64" t="str">
        <f>IF(tbCartoes[[#This Row],[📂 Categoria]]="","",SUBSTITUTE(tbCartoes[[#This Row],[📂 Categoria]]," ","_"))</f>
        <v/>
      </c>
      <c r="I257" s="273"/>
    </row>
    <row r="258" spans="1:9">
      <c r="A258" s="55"/>
      <c r="B258" s="56"/>
      <c r="C258" s="56"/>
      <c r="D258" s="56"/>
      <c r="E258" s="57"/>
      <c r="F258" s="58"/>
      <c r="G258" s="56"/>
      <c r="H258" s="63" t="str">
        <f>IF(tbCartoes[[#This Row],[📂 Categoria]]="","",SUBSTITUTE(tbCartoes[[#This Row],[📂 Categoria]]," ","_"))</f>
        <v/>
      </c>
      <c r="I258" s="272"/>
    </row>
    <row r="259" spans="1:9">
      <c r="A259" s="59"/>
      <c r="B259" s="60"/>
      <c r="C259" s="60"/>
      <c r="D259" s="60"/>
      <c r="E259" s="61"/>
      <c r="F259" s="62"/>
      <c r="G259" s="60"/>
      <c r="H259" s="64" t="str">
        <f>IF(tbCartoes[[#This Row],[📂 Categoria]]="","",SUBSTITUTE(tbCartoes[[#This Row],[📂 Categoria]]," ","_"))</f>
        <v/>
      </c>
      <c r="I259" s="273"/>
    </row>
    <row r="260" spans="1:9">
      <c r="A260" s="55"/>
      <c r="B260" s="56"/>
      <c r="C260" s="56"/>
      <c r="D260" s="56"/>
      <c r="E260" s="57"/>
      <c r="F260" s="58"/>
      <c r="G260" s="56"/>
      <c r="H260" s="63" t="str">
        <f>IF(tbCartoes[[#This Row],[📂 Categoria]]="","",SUBSTITUTE(tbCartoes[[#This Row],[📂 Categoria]]," ","_"))</f>
        <v/>
      </c>
      <c r="I260" s="272"/>
    </row>
    <row r="261" spans="1:9">
      <c r="A261" s="59"/>
      <c r="B261" s="60"/>
      <c r="C261" s="60"/>
      <c r="D261" s="60"/>
      <c r="E261" s="61"/>
      <c r="F261" s="62"/>
      <c r="G261" s="60"/>
      <c r="H261" s="64" t="str">
        <f>IF(tbCartoes[[#This Row],[📂 Categoria]]="","",SUBSTITUTE(tbCartoes[[#This Row],[📂 Categoria]]," ","_"))</f>
        <v/>
      </c>
      <c r="I261" s="273"/>
    </row>
    <row r="262" spans="1:9">
      <c r="A262" s="55"/>
      <c r="B262" s="56"/>
      <c r="C262" s="56"/>
      <c r="D262" s="56"/>
      <c r="E262" s="57"/>
      <c r="F262" s="58"/>
      <c r="G262" s="56"/>
      <c r="H262" s="63" t="str">
        <f>IF(tbCartoes[[#This Row],[📂 Categoria]]="","",SUBSTITUTE(tbCartoes[[#This Row],[📂 Categoria]]," ","_"))</f>
        <v/>
      </c>
      <c r="I262" s="272"/>
    </row>
    <row r="263" spans="1:9">
      <c r="A263" s="59"/>
      <c r="B263" s="60"/>
      <c r="C263" s="60"/>
      <c r="D263" s="60"/>
      <c r="E263" s="61"/>
      <c r="F263" s="62"/>
      <c r="G263" s="60"/>
      <c r="H263" s="64" t="str">
        <f>IF(tbCartoes[[#This Row],[📂 Categoria]]="","",SUBSTITUTE(tbCartoes[[#This Row],[📂 Categoria]]," ","_"))</f>
        <v/>
      </c>
      <c r="I263" s="273"/>
    </row>
    <row r="264" spans="1:9">
      <c r="A264" s="55"/>
      <c r="B264" s="56"/>
      <c r="C264" s="56"/>
      <c r="D264" s="56"/>
      <c r="E264" s="57"/>
      <c r="F264" s="58"/>
      <c r="G264" s="56"/>
      <c r="H264" s="63" t="str">
        <f>IF(tbCartoes[[#This Row],[📂 Categoria]]="","",SUBSTITUTE(tbCartoes[[#This Row],[📂 Categoria]]," ","_"))</f>
        <v/>
      </c>
      <c r="I264" s="272"/>
    </row>
    <row r="265" spans="1:9">
      <c r="A265" s="59"/>
      <c r="B265" s="60"/>
      <c r="C265" s="60"/>
      <c r="D265" s="60"/>
      <c r="E265" s="61"/>
      <c r="F265" s="62"/>
      <c r="G265" s="60"/>
      <c r="H265" s="64" t="str">
        <f>IF(tbCartoes[[#This Row],[📂 Categoria]]="","",SUBSTITUTE(tbCartoes[[#This Row],[📂 Categoria]]," ","_"))</f>
        <v/>
      </c>
      <c r="I265" s="273"/>
    </row>
    <row r="266" spans="1:9">
      <c r="A266" s="55"/>
      <c r="B266" s="56"/>
      <c r="C266" s="56"/>
      <c r="D266" s="56"/>
      <c r="E266" s="57"/>
      <c r="F266" s="58"/>
      <c r="G266" s="56"/>
      <c r="H266" s="63" t="str">
        <f>IF(tbCartoes[[#This Row],[📂 Categoria]]="","",SUBSTITUTE(tbCartoes[[#This Row],[📂 Categoria]]," ","_"))</f>
        <v/>
      </c>
      <c r="I266" s="272"/>
    </row>
    <row r="267" spans="1:9">
      <c r="A267" s="59"/>
      <c r="B267" s="60"/>
      <c r="C267" s="60"/>
      <c r="D267" s="60"/>
      <c r="E267" s="61"/>
      <c r="F267" s="62"/>
      <c r="G267" s="60"/>
      <c r="H267" s="64" t="str">
        <f>IF(tbCartoes[[#This Row],[📂 Categoria]]="","",SUBSTITUTE(tbCartoes[[#This Row],[📂 Categoria]]," ","_"))</f>
        <v/>
      </c>
      <c r="I267" s="273"/>
    </row>
    <row r="268" spans="1:9">
      <c r="A268" s="55"/>
      <c r="B268" s="56"/>
      <c r="C268" s="56"/>
      <c r="D268" s="56"/>
      <c r="E268" s="57"/>
      <c r="F268" s="58"/>
      <c r="G268" s="56"/>
      <c r="H268" s="63" t="str">
        <f>IF(tbCartoes[[#This Row],[📂 Categoria]]="","",SUBSTITUTE(tbCartoes[[#This Row],[📂 Categoria]]," ","_"))</f>
        <v/>
      </c>
      <c r="I268" s="272"/>
    </row>
    <row r="269" spans="1:9">
      <c r="A269" s="59"/>
      <c r="B269" s="60"/>
      <c r="C269" s="60"/>
      <c r="D269" s="60"/>
      <c r="E269" s="61"/>
      <c r="F269" s="62"/>
      <c r="G269" s="60"/>
      <c r="H269" s="64" t="str">
        <f>IF(tbCartoes[[#This Row],[📂 Categoria]]="","",SUBSTITUTE(tbCartoes[[#This Row],[📂 Categoria]]," ","_"))</f>
        <v/>
      </c>
      <c r="I269" s="273"/>
    </row>
    <row r="270" spans="1:9">
      <c r="A270" s="55"/>
      <c r="B270" s="56"/>
      <c r="C270" s="56"/>
      <c r="D270" s="56"/>
      <c r="E270" s="57"/>
      <c r="F270" s="58"/>
      <c r="G270" s="56"/>
      <c r="H270" s="63" t="str">
        <f>IF(tbCartoes[[#This Row],[📂 Categoria]]="","",SUBSTITUTE(tbCartoes[[#This Row],[📂 Categoria]]," ","_"))</f>
        <v/>
      </c>
      <c r="I270" s="272"/>
    </row>
    <row r="271" spans="1:9">
      <c r="A271" s="59"/>
      <c r="B271" s="60"/>
      <c r="C271" s="60"/>
      <c r="D271" s="60"/>
      <c r="E271" s="61"/>
      <c r="F271" s="62"/>
      <c r="G271" s="60"/>
      <c r="H271" s="64" t="str">
        <f>IF(tbCartoes[[#This Row],[📂 Categoria]]="","",SUBSTITUTE(tbCartoes[[#This Row],[📂 Categoria]]," ","_"))</f>
        <v/>
      </c>
      <c r="I271" s="273"/>
    </row>
    <row r="272" spans="1:9">
      <c r="A272" s="55"/>
      <c r="B272" s="56"/>
      <c r="C272" s="56"/>
      <c r="D272" s="56"/>
      <c r="E272" s="57"/>
      <c r="F272" s="58"/>
      <c r="G272" s="56"/>
      <c r="H272" s="63" t="str">
        <f>IF(tbCartoes[[#This Row],[📂 Categoria]]="","",SUBSTITUTE(tbCartoes[[#This Row],[📂 Categoria]]," ","_"))</f>
        <v/>
      </c>
      <c r="I272" s="272"/>
    </row>
    <row r="273" spans="1:9">
      <c r="A273" s="59"/>
      <c r="B273" s="60"/>
      <c r="C273" s="60"/>
      <c r="D273" s="60"/>
      <c r="E273" s="61"/>
      <c r="F273" s="62"/>
      <c r="G273" s="60"/>
      <c r="H273" s="64" t="str">
        <f>IF(tbCartoes[[#This Row],[📂 Categoria]]="","",SUBSTITUTE(tbCartoes[[#This Row],[📂 Categoria]]," ","_"))</f>
        <v/>
      </c>
      <c r="I273" s="273"/>
    </row>
    <row r="274" spans="1:9">
      <c r="A274" s="55"/>
      <c r="B274" s="56"/>
      <c r="C274" s="56"/>
      <c r="D274" s="56"/>
      <c r="E274" s="57"/>
      <c r="F274" s="58"/>
      <c r="G274" s="56"/>
      <c r="H274" s="63" t="str">
        <f>IF(tbCartoes[[#This Row],[📂 Categoria]]="","",SUBSTITUTE(tbCartoes[[#This Row],[📂 Categoria]]," ","_"))</f>
        <v/>
      </c>
      <c r="I274" s="272"/>
    </row>
    <row r="275" spans="1:9">
      <c r="A275" s="59"/>
      <c r="B275" s="60"/>
      <c r="C275" s="60"/>
      <c r="D275" s="60"/>
      <c r="E275" s="61"/>
      <c r="F275" s="62"/>
      <c r="G275" s="60"/>
      <c r="H275" s="64" t="str">
        <f>IF(tbCartoes[[#This Row],[📂 Categoria]]="","",SUBSTITUTE(tbCartoes[[#This Row],[📂 Categoria]]," ","_"))</f>
        <v/>
      </c>
      <c r="I275" s="273"/>
    </row>
    <row r="276" spans="1:9">
      <c r="A276" s="55"/>
      <c r="B276" s="56"/>
      <c r="C276" s="56"/>
      <c r="D276" s="56"/>
      <c r="E276" s="57"/>
      <c r="F276" s="58"/>
      <c r="G276" s="56"/>
      <c r="H276" s="63" t="str">
        <f>IF(tbCartoes[[#This Row],[📂 Categoria]]="","",SUBSTITUTE(tbCartoes[[#This Row],[📂 Categoria]]," ","_"))</f>
        <v/>
      </c>
      <c r="I276" s="272"/>
    </row>
    <row r="277" spans="1:9">
      <c r="A277" s="59"/>
      <c r="B277" s="60"/>
      <c r="C277" s="60"/>
      <c r="D277" s="60"/>
      <c r="E277" s="61"/>
      <c r="F277" s="62"/>
      <c r="G277" s="60"/>
      <c r="H277" s="64" t="str">
        <f>IF(tbCartoes[[#This Row],[📂 Categoria]]="","",SUBSTITUTE(tbCartoes[[#This Row],[📂 Categoria]]," ","_"))</f>
        <v/>
      </c>
      <c r="I277" s="273"/>
    </row>
    <row r="278" spans="1:9">
      <c r="A278" s="55"/>
      <c r="B278" s="56"/>
      <c r="C278" s="56"/>
      <c r="D278" s="56"/>
      <c r="E278" s="57"/>
      <c r="F278" s="58"/>
      <c r="G278" s="56"/>
      <c r="H278" s="63" t="str">
        <f>IF(tbCartoes[[#This Row],[📂 Categoria]]="","",SUBSTITUTE(tbCartoes[[#This Row],[📂 Categoria]]," ","_"))</f>
        <v/>
      </c>
      <c r="I278" s="272"/>
    </row>
    <row r="279" spans="1:9">
      <c r="A279" s="59"/>
      <c r="B279" s="60"/>
      <c r="C279" s="60"/>
      <c r="D279" s="60"/>
      <c r="E279" s="61"/>
      <c r="F279" s="62"/>
      <c r="G279" s="60"/>
      <c r="H279" s="64" t="str">
        <f>IF(tbCartoes[[#This Row],[📂 Categoria]]="","",SUBSTITUTE(tbCartoes[[#This Row],[📂 Categoria]]," ","_"))</f>
        <v/>
      </c>
      <c r="I279" s="273"/>
    </row>
    <row r="280" spans="1:9">
      <c r="A280" s="55"/>
      <c r="B280" s="56"/>
      <c r="C280" s="56"/>
      <c r="D280" s="56"/>
      <c r="E280" s="57"/>
      <c r="F280" s="58"/>
      <c r="G280" s="56"/>
      <c r="H280" s="63" t="str">
        <f>IF(tbCartoes[[#This Row],[📂 Categoria]]="","",SUBSTITUTE(tbCartoes[[#This Row],[📂 Categoria]]," ","_"))</f>
        <v/>
      </c>
      <c r="I280" s="272"/>
    </row>
    <row r="281" spans="1:9" ht="13.8" customHeight="1">
      <c r="A281" s="59"/>
      <c r="B281" s="60"/>
      <c r="C281" s="60"/>
      <c r="D281" s="60"/>
      <c r="E281" s="61"/>
      <c r="F281" s="62"/>
      <c r="G281" s="60"/>
      <c r="H281" s="64" t="str">
        <f>IF(tbCartoes[[#This Row],[📂 Categoria]]="","",SUBSTITUTE(tbCartoes[[#This Row],[📂 Categoria]]," ","_"))</f>
        <v/>
      </c>
      <c r="I281" s="273"/>
    </row>
    <row r="282" spans="1:9">
      <c r="A282" s="55"/>
      <c r="B282" s="56"/>
      <c r="C282" s="56"/>
      <c r="D282" s="56"/>
      <c r="E282" s="57"/>
      <c r="F282" s="58"/>
      <c r="G282" s="56"/>
      <c r="H282" s="63" t="str">
        <f>IF(tbCartoes[[#This Row],[📂 Categoria]]="","",SUBSTITUTE(tbCartoes[[#This Row],[📂 Categoria]]," ","_"))</f>
        <v/>
      </c>
      <c r="I282" s="272"/>
    </row>
    <row r="283" spans="1:9">
      <c r="A283" s="59"/>
      <c r="B283" s="60"/>
      <c r="C283" s="60"/>
      <c r="D283" s="60"/>
      <c r="E283" s="61"/>
      <c r="F283" s="62"/>
      <c r="G283" s="60"/>
      <c r="H283" s="64" t="str">
        <f>IF(tbCartoes[[#This Row],[📂 Categoria]]="","",SUBSTITUTE(tbCartoes[[#This Row],[📂 Categoria]]," ","_"))</f>
        <v/>
      </c>
      <c r="I283" s="273"/>
    </row>
    <row r="284" spans="1:9">
      <c r="A284" s="55"/>
      <c r="B284" s="56"/>
      <c r="C284" s="56"/>
      <c r="D284" s="56"/>
      <c r="E284" s="57"/>
      <c r="F284" s="58"/>
      <c r="G284" s="56"/>
      <c r="H284" s="63" t="str">
        <f>IF(tbCartoes[[#This Row],[📂 Categoria]]="","",SUBSTITUTE(tbCartoes[[#This Row],[📂 Categoria]]," ","_"))</f>
        <v/>
      </c>
      <c r="I284" s="272"/>
    </row>
    <row r="285" spans="1:9">
      <c r="A285" s="59"/>
      <c r="B285" s="60"/>
      <c r="C285" s="60"/>
      <c r="D285" s="60"/>
      <c r="E285" s="61"/>
      <c r="F285" s="62"/>
      <c r="G285" s="60"/>
      <c r="H285" s="64" t="str">
        <f>IF(tbCartoes[[#This Row],[📂 Categoria]]="","",SUBSTITUTE(tbCartoes[[#This Row],[📂 Categoria]]," ","_"))</f>
        <v/>
      </c>
      <c r="I285" s="273"/>
    </row>
    <row r="286" spans="1:9">
      <c r="A286" s="55"/>
      <c r="B286" s="56"/>
      <c r="C286" s="56"/>
      <c r="D286" s="56"/>
      <c r="E286" s="57"/>
      <c r="F286" s="58"/>
      <c r="G286" s="56"/>
      <c r="H286" s="63" t="str">
        <f>IF(tbCartoes[[#This Row],[📂 Categoria]]="","",SUBSTITUTE(tbCartoes[[#This Row],[📂 Categoria]]," ","_"))</f>
        <v/>
      </c>
      <c r="I286" s="272"/>
    </row>
    <row r="287" spans="1:9">
      <c r="A287" s="59"/>
      <c r="B287" s="60"/>
      <c r="C287" s="60"/>
      <c r="D287" s="60"/>
      <c r="E287" s="61"/>
      <c r="F287" s="62"/>
      <c r="G287" s="60"/>
      <c r="H287" s="64" t="str">
        <f>IF(tbCartoes[[#This Row],[📂 Categoria]]="","",SUBSTITUTE(tbCartoes[[#This Row],[📂 Categoria]]," ","_"))</f>
        <v/>
      </c>
      <c r="I287" s="273"/>
    </row>
    <row r="288" spans="1:9">
      <c r="A288" s="55"/>
      <c r="B288" s="56"/>
      <c r="C288" s="56"/>
      <c r="D288" s="56"/>
      <c r="E288" s="57"/>
      <c r="F288" s="58"/>
      <c r="G288" s="56"/>
      <c r="H288" s="63" t="str">
        <f>IF(tbCartoes[[#This Row],[📂 Categoria]]="","",SUBSTITUTE(tbCartoes[[#This Row],[📂 Categoria]]," ","_"))</f>
        <v/>
      </c>
      <c r="I288" s="272"/>
    </row>
    <row r="289" spans="1:9">
      <c r="A289" s="59"/>
      <c r="B289" s="60"/>
      <c r="C289" s="60"/>
      <c r="D289" s="60"/>
      <c r="E289" s="61"/>
      <c r="F289" s="62"/>
      <c r="G289" s="60"/>
      <c r="H289" s="64" t="str">
        <f>IF(tbCartoes[[#This Row],[📂 Categoria]]="","",SUBSTITUTE(tbCartoes[[#This Row],[📂 Categoria]]," ","_"))</f>
        <v/>
      </c>
      <c r="I289" s="273"/>
    </row>
    <row r="290" spans="1:9">
      <c r="A290" s="55"/>
      <c r="B290" s="56"/>
      <c r="C290" s="56"/>
      <c r="D290" s="56"/>
      <c r="E290" s="57"/>
      <c r="F290" s="58"/>
      <c r="G290" s="56"/>
      <c r="H290" s="63" t="str">
        <f>IF(tbCartoes[[#This Row],[📂 Categoria]]="","",SUBSTITUTE(tbCartoes[[#This Row],[📂 Categoria]]," ","_"))</f>
        <v/>
      </c>
      <c r="I290" s="272"/>
    </row>
    <row r="291" spans="1:9">
      <c r="A291" s="59"/>
      <c r="B291" s="60"/>
      <c r="C291" s="60"/>
      <c r="D291" s="60"/>
      <c r="E291" s="61"/>
      <c r="F291" s="62"/>
      <c r="G291" s="60"/>
      <c r="H291" s="64" t="str">
        <f>IF(tbCartoes[[#This Row],[📂 Categoria]]="","",SUBSTITUTE(tbCartoes[[#This Row],[📂 Categoria]]," ","_"))</f>
        <v/>
      </c>
      <c r="I291" s="273"/>
    </row>
    <row r="292" spans="1:9">
      <c r="A292" s="55"/>
      <c r="B292" s="56"/>
      <c r="C292" s="56"/>
      <c r="D292" s="56"/>
      <c r="E292" s="57"/>
      <c r="F292" s="58"/>
      <c r="G292" s="56"/>
      <c r="H292" s="63" t="str">
        <f>IF(tbCartoes[[#This Row],[📂 Categoria]]="","",SUBSTITUTE(tbCartoes[[#This Row],[📂 Categoria]]," ","_"))</f>
        <v/>
      </c>
      <c r="I292" s="272"/>
    </row>
    <row r="293" spans="1:9">
      <c r="A293" s="59"/>
      <c r="B293" s="60"/>
      <c r="C293" s="60"/>
      <c r="D293" s="60"/>
      <c r="E293" s="61"/>
      <c r="F293" s="62"/>
      <c r="G293" s="60"/>
      <c r="H293" s="64" t="str">
        <f>IF(tbCartoes[[#This Row],[📂 Categoria]]="","",SUBSTITUTE(tbCartoes[[#This Row],[📂 Categoria]]," ","_"))</f>
        <v/>
      </c>
      <c r="I293" s="273"/>
    </row>
    <row r="294" spans="1:9">
      <c r="A294" s="55"/>
      <c r="B294" s="56"/>
      <c r="C294" s="56"/>
      <c r="D294" s="56"/>
      <c r="E294" s="57"/>
      <c r="F294" s="58"/>
      <c r="G294" s="56"/>
      <c r="H294" s="63" t="str">
        <f>IF(tbCartoes[[#This Row],[📂 Categoria]]="","",SUBSTITUTE(tbCartoes[[#This Row],[📂 Categoria]]," ","_"))</f>
        <v/>
      </c>
      <c r="I294" s="272"/>
    </row>
    <row r="295" spans="1:9">
      <c r="A295" s="59"/>
      <c r="B295" s="60"/>
      <c r="C295" s="60"/>
      <c r="D295" s="60"/>
      <c r="E295" s="61"/>
      <c r="F295" s="62"/>
      <c r="G295" s="60"/>
      <c r="H295" s="64" t="str">
        <f>IF(tbCartoes[[#This Row],[📂 Categoria]]="","",SUBSTITUTE(tbCartoes[[#This Row],[📂 Categoria]]," ","_"))</f>
        <v/>
      </c>
      <c r="I295" s="273"/>
    </row>
    <row r="296" spans="1:9">
      <c r="A296" s="55"/>
      <c r="B296" s="56"/>
      <c r="C296" s="56"/>
      <c r="D296" s="56"/>
      <c r="E296" s="57"/>
      <c r="F296" s="58"/>
      <c r="G296" s="56"/>
      <c r="H296" s="63" t="str">
        <f>IF(tbCartoes[[#This Row],[📂 Categoria]]="","",SUBSTITUTE(tbCartoes[[#This Row],[📂 Categoria]]," ","_"))</f>
        <v/>
      </c>
      <c r="I296" s="272"/>
    </row>
    <row r="297" spans="1:9">
      <c r="A297" s="59"/>
      <c r="B297" s="60"/>
      <c r="C297" s="60"/>
      <c r="D297" s="60"/>
      <c r="E297" s="61"/>
      <c r="F297" s="62"/>
      <c r="G297" s="60"/>
      <c r="H297" s="64" t="str">
        <f>IF(tbCartoes[[#This Row],[📂 Categoria]]="","",SUBSTITUTE(tbCartoes[[#This Row],[📂 Categoria]]," ","_"))</f>
        <v/>
      </c>
      <c r="I297" s="273"/>
    </row>
    <row r="298" spans="1:9">
      <c r="A298" s="55"/>
      <c r="B298" s="56"/>
      <c r="C298" s="56"/>
      <c r="D298" s="56"/>
      <c r="E298" s="57"/>
      <c r="F298" s="58"/>
      <c r="G298" s="56"/>
      <c r="H298" s="63" t="str">
        <f>IF(tbCartoes[[#This Row],[📂 Categoria]]="","",SUBSTITUTE(tbCartoes[[#This Row],[📂 Categoria]]," ","_"))</f>
        <v/>
      </c>
      <c r="I298" s="272"/>
    </row>
    <row r="299" spans="1:9">
      <c r="A299" s="59"/>
      <c r="B299" s="60"/>
      <c r="C299" s="60"/>
      <c r="D299" s="60"/>
      <c r="E299" s="61"/>
      <c r="F299" s="62"/>
      <c r="G299" s="60"/>
      <c r="H299" s="64" t="str">
        <f>IF(tbCartoes[[#This Row],[📂 Categoria]]="","",SUBSTITUTE(tbCartoes[[#This Row],[📂 Categoria]]," ","_"))</f>
        <v/>
      </c>
      <c r="I299" s="273"/>
    </row>
    <row r="300" spans="1:9">
      <c r="A300" s="55"/>
      <c r="B300" s="56"/>
      <c r="C300" s="56"/>
      <c r="D300" s="56"/>
      <c r="E300" s="57"/>
      <c r="F300" s="58"/>
      <c r="G300" s="56"/>
      <c r="H300" s="63" t="str">
        <f>IF(tbCartoes[[#This Row],[📂 Categoria]]="","",SUBSTITUTE(tbCartoes[[#This Row],[📂 Categoria]]," ","_"))</f>
        <v/>
      </c>
      <c r="I300" s="272"/>
    </row>
    <row r="301" spans="1:9">
      <c r="A301" s="59"/>
      <c r="B301" s="60"/>
      <c r="C301" s="60"/>
      <c r="D301" s="60"/>
      <c r="E301" s="61"/>
      <c r="F301" s="62"/>
      <c r="G301" s="60"/>
      <c r="H301" s="64" t="str">
        <f>IF(tbCartoes[[#This Row],[📂 Categoria]]="","",SUBSTITUTE(tbCartoes[[#This Row],[📂 Categoria]]," ","_"))</f>
        <v/>
      </c>
      <c r="I301" s="273"/>
    </row>
    <row r="302" spans="1:9">
      <c r="A302" s="55"/>
      <c r="B302" s="56"/>
      <c r="C302" s="56"/>
      <c r="D302" s="56"/>
      <c r="E302" s="57"/>
      <c r="F302" s="58"/>
      <c r="G302" s="56"/>
      <c r="H302" s="63" t="str">
        <f>IF(tbCartoes[[#This Row],[📂 Categoria]]="","",SUBSTITUTE(tbCartoes[[#This Row],[📂 Categoria]]," ","_"))</f>
        <v/>
      </c>
      <c r="I302" s="272"/>
    </row>
    <row r="303" spans="1:9">
      <c r="A303" s="59"/>
      <c r="B303" s="60"/>
      <c r="C303" s="60"/>
      <c r="D303" s="60"/>
      <c r="E303" s="61"/>
      <c r="F303" s="62"/>
      <c r="G303" s="60"/>
      <c r="H303" s="64" t="str">
        <f>IF(tbCartoes[[#This Row],[📂 Categoria]]="","",SUBSTITUTE(tbCartoes[[#This Row],[📂 Categoria]]," ","_"))</f>
        <v/>
      </c>
      <c r="I303" s="273"/>
    </row>
    <row r="304" spans="1:9">
      <c r="A304" s="55"/>
      <c r="B304" s="56"/>
      <c r="C304" s="56"/>
      <c r="D304" s="56"/>
      <c r="E304" s="57"/>
      <c r="F304" s="58"/>
      <c r="G304" s="56"/>
      <c r="H304" s="63" t="str">
        <f>IF(tbCartoes[[#This Row],[📂 Categoria]]="","",SUBSTITUTE(tbCartoes[[#This Row],[📂 Categoria]]," ","_"))</f>
        <v/>
      </c>
      <c r="I304" s="272"/>
    </row>
    <row r="305" spans="1:9">
      <c r="A305" s="59"/>
      <c r="B305" s="60"/>
      <c r="C305" s="60"/>
      <c r="D305" s="60"/>
      <c r="E305" s="61"/>
      <c r="F305" s="62"/>
      <c r="G305" s="60"/>
      <c r="H305" s="64" t="str">
        <f>IF(tbCartoes[[#This Row],[📂 Categoria]]="","",SUBSTITUTE(tbCartoes[[#This Row],[📂 Categoria]]," ","_"))</f>
        <v/>
      </c>
      <c r="I305" s="273"/>
    </row>
    <row r="306" spans="1:9">
      <c r="A306" s="55"/>
      <c r="B306" s="56"/>
      <c r="C306" s="56"/>
      <c r="D306" s="56"/>
      <c r="E306" s="57"/>
      <c r="F306" s="58"/>
      <c r="G306" s="56"/>
      <c r="H306" s="63" t="str">
        <f>IF(tbCartoes[[#This Row],[📂 Categoria]]="","",SUBSTITUTE(tbCartoes[[#This Row],[📂 Categoria]]," ","_"))</f>
        <v/>
      </c>
      <c r="I306" s="272"/>
    </row>
    <row r="307" spans="1:9">
      <c r="A307" s="59"/>
      <c r="B307" s="60"/>
      <c r="C307" s="60"/>
      <c r="D307" s="60"/>
      <c r="E307" s="61"/>
      <c r="F307" s="62"/>
      <c r="G307" s="60"/>
      <c r="H307" s="64" t="str">
        <f>IF(tbCartoes[[#This Row],[📂 Categoria]]="","",SUBSTITUTE(tbCartoes[[#This Row],[📂 Categoria]]," ","_"))</f>
        <v/>
      </c>
      <c r="I307" s="273"/>
    </row>
    <row r="308" spans="1:9">
      <c r="A308" s="55"/>
      <c r="B308" s="56"/>
      <c r="C308" s="56"/>
      <c r="D308" s="56"/>
      <c r="E308" s="57"/>
      <c r="F308" s="58"/>
      <c r="G308" s="56"/>
      <c r="H308" s="63" t="str">
        <f>IF(tbCartoes[[#This Row],[📂 Categoria]]="","",SUBSTITUTE(tbCartoes[[#This Row],[📂 Categoria]]," ","_"))</f>
        <v/>
      </c>
      <c r="I308" s="272"/>
    </row>
    <row r="309" spans="1:9">
      <c r="A309" s="59"/>
      <c r="B309" s="60"/>
      <c r="C309" s="60"/>
      <c r="D309" s="60"/>
      <c r="E309" s="61"/>
      <c r="F309" s="62"/>
      <c r="G309" s="60"/>
      <c r="H309" s="64" t="str">
        <f>IF(tbCartoes[[#This Row],[📂 Categoria]]="","",SUBSTITUTE(tbCartoes[[#This Row],[📂 Categoria]]," ","_"))</f>
        <v/>
      </c>
      <c r="I309" s="273"/>
    </row>
    <row r="310" spans="1:9">
      <c r="A310" s="55"/>
      <c r="B310" s="56"/>
      <c r="C310" s="56"/>
      <c r="D310" s="56"/>
      <c r="E310" s="57"/>
      <c r="F310" s="58"/>
      <c r="G310" s="56"/>
      <c r="H310" s="63" t="str">
        <f>IF(tbCartoes[[#This Row],[📂 Categoria]]="","",SUBSTITUTE(tbCartoes[[#This Row],[📂 Categoria]]," ","_"))</f>
        <v/>
      </c>
      <c r="I310" s="272"/>
    </row>
    <row r="311" spans="1:9">
      <c r="A311" s="59"/>
      <c r="B311" s="60"/>
      <c r="C311" s="60"/>
      <c r="D311" s="60"/>
      <c r="E311" s="61"/>
      <c r="F311" s="62"/>
      <c r="G311" s="60"/>
      <c r="H311" s="64" t="str">
        <f>IF(tbCartoes[[#This Row],[📂 Categoria]]="","",SUBSTITUTE(tbCartoes[[#This Row],[📂 Categoria]]," ","_"))</f>
        <v/>
      </c>
      <c r="I311" s="273"/>
    </row>
    <row r="312" spans="1:9">
      <c r="A312" s="55"/>
      <c r="B312" s="56"/>
      <c r="C312" s="56"/>
      <c r="D312" s="56"/>
      <c r="E312" s="57"/>
      <c r="F312" s="58"/>
      <c r="G312" s="56"/>
      <c r="H312" s="63" t="str">
        <f>IF(tbCartoes[[#This Row],[📂 Categoria]]="","",SUBSTITUTE(tbCartoes[[#This Row],[📂 Categoria]]," ","_"))</f>
        <v/>
      </c>
      <c r="I312" s="272"/>
    </row>
    <row r="313" spans="1:9">
      <c r="A313" s="59"/>
      <c r="B313" s="60"/>
      <c r="C313" s="60"/>
      <c r="D313" s="60"/>
      <c r="E313" s="61"/>
      <c r="F313" s="62"/>
      <c r="G313" s="60"/>
      <c r="H313" s="64" t="str">
        <f>IF(tbCartoes[[#This Row],[📂 Categoria]]="","",SUBSTITUTE(tbCartoes[[#This Row],[📂 Categoria]]," ","_"))</f>
        <v/>
      </c>
      <c r="I313" s="273"/>
    </row>
    <row r="314" spans="1:9">
      <c r="A314" s="55"/>
      <c r="B314" s="56"/>
      <c r="C314" s="56"/>
      <c r="D314" s="56"/>
      <c r="E314" s="57"/>
      <c r="F314" s="58"/>
      <c r="G314" s="56"/>
      <c r="H314" s="63" t="str">
        <f>IF(tbCartoes[[#This Row],[📂 Categoria]]="","",SUBSTITUTE(tbCartoes[[#This Row],[📂 Categoria]]," ","_"))</f>
        <v/>
      </c>
      <c r="I314" s="272"/>
    </row>
    <row r="315" spans="1:9">
      <c r="A315" s="59"/>
      <c r="B315" s="60"/>
      <c r="C315" s="60"/>
      <c r="D315" s="60"/>
      <c r="E315" s="61"/>
      <c r="F315" s="62"/>
      <c r="G315" s="60"/>
      <c r="H315" s="64" t="str">
        <f>IF(tbCartoes[[#This Row],[📂 Categoria]]="","",SUBSTITUTE(tbCartoes[[#This Row],[📂 Categoria]]," ","_"))</f>
        <v/>
      </c>
      <c r="I315" s="273"/>
    </row>
    <row r="316" spans="1:9">
      <c r="A316" s="55"/>
      <c r="B316" s="56"/>
      <c r="C316" s="56"/>
      <c r="D316" s="56"/>
      <c r="E316" s="57"/>
      <c r="F316" s="58"/>
      <c r="G316" s="56"/>
      <c r="H316" s="63" t="str">
        <f>IF(tbCartoes[[#This Row],[📂 Categoria]]="","",SUBSTITUTE(tbCartoes[[#This Row],[📂 Categoria]]," ","_"))</f>
        <v/>
      </c>
      <c r="I316" s="272"/>
    </row>
    <row r="317" spans="1:9">
      <c r="A317" s="59"/>
      <c r="B317" s="60"/>
      <c r="C317" s="60"/>
      <c r="D317" s="60"/>
      <c r="E317" s="61"/>
      <c r="F317" s="62"/>
      <c r="G317" s="60"/>
      <c r="H317" s="64" t="str">
        <f>IF(tbCartoes[[#This Row],[📂 Categoria]]="","",SUBSTITUTE(tbCartoes[[#This Row],[📂 Categoria]]," ","_"))</f>
        <v/>
      </c>
      <c r="I317" s="273"/>
    </row>
    <row r="318" spans="1:9">
      <c r="A318" s="55"/>
      <c r="B318" s="56"/>
      <c r="C318" s="56"/>
      <c r="D318" s="56"/>
      <c r="E318" s="57"/>
      <c r="F318" s="58"/>
      <c r="G318" s="56"/>
      <c r="H318" s="63" t="str">
        <f>IF(tbCartoes[[#This Row],[📂 Categoria]]="","",SUBSTITUTE(tbCartoes[[#This Row],[📂 Categoria]]," ","_"))</f>
        <v/>
      </c>
      <c r="I318" s="272"/>
    </row>
    <row r="319" spans="1:9">
      <c r="A319" s="59"/>
      <c r="B319" s="60"/>
      <c r="C319" s="60"/>
      <c r="D319" s="60"/>
      <c r="E319" s="61"/>
      <c r="F319" s="62"/>
      <c r="G319" s="60"/>
      <c r="H319" s="64" t="str">
        <f>IF(tbCartoes[[#This Row],[📂 Categoria]]="","",SUBSTITUTE(tbCartoes[[#This Row],[📂 Categoria]]," ","_"))</f>
        <v/>
      </c>
      <c r="I319" s="273"/>
    </row>
    <row r="320" spans="1:9">
      <c r="A320" s="55"/>
      <c r="B320" s="56"/>
      <c r="C320" s="56"/>
      <c r="D320" s="56"/>
      <c r="E320" s="57"/>
      <c r="F320" s="58"/>
      <c r="G320" s="56"/>
      <c r="H320" s="63" t="str">
        <f>IF(tbCartoes[[#This Row],[📂 Categoria]]="","",SUBSTITUTE(tbCartoes[[#This Row],[📂 Categoria]]," ","_"))</f>
        <v/>
      </c>
      <c r="I320" s="272"/>
    </row>
    <row r="321" spans="1:9">
      <c r="A321" s="59"/>
      <c r="B321" s="60"/>
      <c r="C321" s="60"/>
      <c r="D321" s="60"/>
      <c r="E321" s="61"/>
      <c r="F321" s="62"/>
      <c r="G321" s="60"/>
      <c r="H321" s="64" t="str">
        <f>IF(tbCartoes[[#This Row],[📂 Categoria]]="","",SUBSTITUTE(tbCartoes[[#This Row],[📂 Categoria]]," ","_"))</f>
        <v/>
      </c>
      <c r="I321" s="273"/>
    </row>
    <row r="322" spans="1:9">
      <c r="A322" s="55"/>
      <c r="B322" s="56"/>
      <c r="C322" s="56"/>
      <c r="D322" s="56"/>
      <c r="E322" s="57"/>
      <c r="F322" s="58"/>
      <c r="G322" s="56"/>
      <c r="H322" s="63" t="str">
        <f>IF(tbCartoes[[#This Row],[📂 Categoria]]="","",SUBSTITUTE(tbCartoes[[#This Row],[📂 Categoria]]," ","_"))</f>
        <v/>
      </c>
      <c r="I322" s="272"/>
    </row>
    <row r="323" spans="1:9">
      <c r="A323" s="59"/>
      <c r="B323" s="60"/>
      <c r="C323" s="60"/>
      <c r="D323" s="60"/>
      <c r="E323" s="61"/>
      <c r="F323" s="62"/>
      <c r="G323" s="60"/>
      <c r="H323" s="64" t="str">
        <f>IF(tbCartoes[[#This Row],[📂 Categoria]]="","",SUBSTITUTE(tbCartoes[[#This Row],[📂 Categoria]]," ","_"))</f>
        <v/>
      </c>
      <c r="I323" s="273"/>
    </row>
    <row r="324" spans="1:9">
      <c r="A324" s="55"/>
      <c r="B324" s="56"/>
      <c r="C324" s="56"/>
      <c r="D324" s="56"/>
      <c r="E324" s="57"/>
      <c r="F324" s="58"/>
      <c r="G324" s="56"/>
      <c r="H324" s="63" t="str">
        <f>IF(tbCartoes[[#This Row],[📂 Categoria]]="","",SUBSTITUTE(tbCartoes[[#This Row],[📂 Categoria]]," ","_"))</f>
        <v/>
      </c>
      <c r="I324" s="272"/>
    </row>
    <row r="325" spans="1:9">
      <c r="A325" s="59"/>
      <c r="B325" s="60"/>
      <c r="C325" s="60"/>
      <c r="D325" s="60"/>
      <c r="E325" s="61"/>
      <c r="F325" s="62"/>
      <c r="G325" s="60"/>
      <c r="H325" s="64" t="str">
        <f>IF(tbCartoes[[#This Row],[📂 Categoria]]="","",SUBSTITUTE(tbCartoes[[#This Row],[📂 Categoria]]," ","_"))</f>
        <v/>
      </c>
      <c r="I325" s="273"/>
    </row>
    <row r="326" spans="1:9">
      <c r="A326" s="55"/>
      <c r="B326" s="56"/>
      <c r="C326" s="56"/>
      <c r="D326" s="56"/>
      <c r="E326" s="57"/>
      <c r="F326" s="58"/>
      <c r="G326" s="56"/>
      <c r="H326" s="63" t="str">
        <f>IF(tbCartoes[[#This Row],[📂 Categoria]]="","",SUBSTITUTE(tbCartoes[[#This Row],[📂 Categoria]]," ","_"))</f>
        <v/>
      </c>
      <c r="I326" s="272"/>
    </row>
    <row r="327" spans="1:9">
      <c r="A327" s="59"/>
      <c r="B327" s="60"/>
      <c r="C327" s="60"/>
      <c r="D327" s="60"/>
      <c r="E327" s="61"/>
      <c r="F327" s="62"/>
      <c r="G327" s="60"/>
      <c r="H327" s="64" t="str">
        <f>IF(tbCartoes[[#This Row],[📂 Categoria]]="","",SUBSTITUTE(tbCartoes[[#This Row],[📂 Categoria]]," ","_"))</f>
        <v/>
      </c>
      <c r="I327" s="273"/>
    </row>
    <row r="328" spans="1:9">
      <c r="A328" s="55"/>
      <c r="B328" s="56"/>
      <c r="C328" s="56"/>
      <c r="D328" s="56"/>
      <c r="E328" s="57"/>
      <c r="F328" s="58"/>
      <c r="G328" s="56"/>
      <c r="H328" s="63" t="str">
        <f>IF(tbCartoes[[#This Row],[📂 Categoria]]="","",SUBSTITUTE(tbCartoes[[#This Row],[📂 Categoria]]," ","_"))</f>
        <v/>
      </c>
      <c r="I328" s="272"/>
    </row>
    <row r="329" spans="1:9">
      <c r="A329" s="59"/>
      <c r="B329" s="60"/>
      <c r="C329" s="60"/>
      <c r="D329" s="60"/>
      <c r="E329" s="61"/>
      <c r="F329" s="62"/>
      <c r="G329" s="60"/>
      <c r="H329" s="64" t="str">
        <f>IF(tbCartoes[[#This Row],[📂 Categoria]]="","",SUBSTITUTE(tbCartoes[[#This Row],[📂 Categoria]]," ","_"))</f>
        <v/>
      </c>
      <c r="I329" s="273"/>
    </row>
    <row r="330" spans="1:9">
      <c r="A330" s="55"/>
      <c r="B330" s="56"/>
      <c r="C330" s="56"/>
      <c r="D330" s="56"/>
      <c r="E330" s="57"/>
      <c r="F330" s="58"/>
      <c r="G330" s="56"/>
      <c r="H330" s="63" t="str">
        <f>IF(tbCartoes[[#This Row],[📂 Categoria]]="","",SUBSTITUTE(tbCartoes[[#This Row],[📂 Categoria]]," ","_"))</f>
        <v/>
      </c>
      <c r="I330" s="272"/>
    </row>
    <row r="331" spans="1:9">
      <c r="A331" s="59"/>
      <c r="B331" s="60"/>
      <c r="C331" s="60"/>
      <c r="D331" s="60"/>
      <c r="E331" s="61"/>
      <c r="F331" s="62"/>
      <c r="G331" s="60"/>
      <c r="H331" s="64" t="str">
        <f>IF(tbCartoes[[#This Row],[📂 Categoria]]="","",SUBSTITUTE(tbCartoes[[#This Row],[📂 Categoria]]," ","_"))</f>
        <v/>
      </c>
      <c r="I331" s="273"/>
    </row>
    <row r="332" spans="1:9">
      <c r="A332" s="55"/>
      <c r="B332" s="56"/>
      <c r="C332" s="56"/>
      <c r="D332" s="56"/>
      <c r="E332" s="57"/>
      <c r="F332" s="58"/>
      <c r="G332" s="56"/>
      <c r="H332" s="63" t="str">
        <f>IF(tbCartoes[[#This Row],[📂 Categoria]]="","",SUBSTITUTE(tbCartoes[[#This Row],[📂 Categoria]]," ","_"))</f>
        <v/>
      </c>
      <c r="I332" s="272"/>
    </row>
    <row r="333" spans="1:9">
      <c r="A333" s="59"/>
      <c r="B333" s="60"/>
      <c r="C333" s="60"/>
      <c r="D333" s="60"/>
      <c r="E333" s="61"/>
      <c r="F333" s="62"/>
      <c r="G333" s="60"/>
      <c r="H333" s="64" t="str">
        <f>IF(tbCartoes[[#This Row],[📂 Categoria]]="","",SUBSTITUTE(tbCartoes[[#This Row],[📂 Categoria]]," ","_"))</f>
        <v/>
      </c>
      <c r="I333" s="273"/>
    </row>
    <row r="334" spans="1:9">
      <c r="A334" s="55"/>
      <c r="B334" s="56"/>
      <c r="C334" s="56"/>
      <c r="D334" s="56"/>
      <c r="E334" s="57"/>
      <c r="F334" s="58"/>
      <c r="G334" s="56"/>
      <c r="H334" s="63" t="str">
        <f>IF(tbCartoes[[#This Row],[📂 Categoria]]="","",SUBSTITUTE(tbCartoes[[#This Row],[📂 Categoria]]," ","_"))</f>
        <v/>
      </c>
      <c r="I334" s="272"/>
    </row>
    <row r="335" spans="1:9">
      <c r="A335" s="59"/>
      <c r="B335" s="60"/>
      <c r="C335" s="60"/>
      <c r="D335" s="60"/>
      <c r="E335" s="61"/>
      <c r="F335" s="62"/>
      <c r="G335" s="60"/>
      <c r="H335" s="64" t="str">
        <f>IF(tbCartoes[[#This Row],[📂 Categoria]]="","",SUBSTITUTE(tbCartoes[[#This Row],[📂 Categoria]]," ","_"))</f>
        <v/>
      </c>
      <c r="I335" s="273"/>
    </row>
    <row r="336" spans="1:9">
      <c r="A336" s="55"/>
      <c r="B336" s="56"/>
      <c r="C336" s="56"/>
      <c r="D336" s="56"/>
      <c r="E336" s="57"/>
      <c r="F336" s="58"/>
      <c r="G336" s="56"/>
      <c r="H336" s="63" t="str">
        <f>IF(tbCartoes[[#This Row],[📂 Categoria]]="","",SUBSTITUTE(tbCartoes[[#This Row],[📂 Categoria]]," ","_"))</f>
        <v/>
      </c>
      <c r="I336" s="272"/>
    </row>
    <row r="337" spans="1:9">
      <c r="A337" s="59"/>
      <c r="B337" s="60"/>
      <c r="C337" s="60"/>
      <c r="D337" s="60"/>
      <c r="E337" s="61"/>
      <c r="F337" s="62"/>
      <c r="G337" s="60"/>
      <c r="H337" s="64" t="str">
        <f>IF(tbCartoes[[#This Row],[📂 Categoria]]="","",SUBSTITUTE(tbCartoes[[#This Row],[📂 Categoria]]," ","_"))</f>
        <v/>
      </c>
      <c r="I337" s="273"/>
    </row>
    <row r="338" spans="1:9">
      <c r="A338" s="55"/>
      <c r="B338" s="56"/>
      <c r="C338" s="56"/>
      <c r="D338" s="56"/>
      <c r="E338" s="57"/>
      <c r="F338" s="58"/>
      <c r="G338" s="56"/>
      <c r="H338" s="63" t="str">
        <f>IF(tbCartoes[[#This Row],[📂 Categoria]]="","",SUBSTITUTE(tbCartoes[[#This Row],[📂 Categoria]]," ","_"))</f>
        <v/>
      </c>
      <c r="I338" s="272"/>
    </row>
    <row r="339" spans="1:9">
      <c r="A339" s="59"/>
      <c r="B339" s="60"/>
      <c r="C339" s="60"/>
      <c r="D339" s="60"/>
      <c r="E339" s="61"/>
      <c r="F339" s="62"/>
      <c r="G339" s="60"/>
      <c r="H339" s="64" t="str">
        <f>IF(tbCartoes[[#This Row],[📂 Categoria]]="","",SUBSTITUTE(tbCartoes[[#This Row],[📂 Categoria]]," ","_"))</f>
        <v/>
      </c>
      <c r="I339" s="273"/>
    </row>
    <row r="340" spans="1:9">
      <c r="A340" s="55"/>
      <c r="B340" s="56"/>
      <c r="C340" s="56"/>
      <c r="D340" s="56"/>
      <c r="E340" s="57"/>
      <c r="F340" s="58"/>
      <c r="G340" s="56"/>
      <c r="H340" s="63" t="str">
        <f>IF(tbCartoes[[#This Row],[📂 Categoria]]="","",SUBSTITUTE(tbCartoes[[#This Row],[📂 Categoria]]," ","_"))</f>
        <v/>
      </c>
      <c r="I340" s="272"/>
    </row>
    <row r="341" spans="1:9">
      <c r="A341" s="59"/>
      <c r="B341" s="60"/>
      <c r="C341" s="60"/>
      <c r="D341" s="60"/>
      <c r="E341" s="61"/>
      <c r="F341" s="62"/>
      <c r="G341" s="60"/>
      <c r="H341" s="64" t="str">
        <f>IF(tbCartoes[[#This Row],[📂 Categoria]]="","",SUBSTITUTE(tbCartoes[[#This Row],[📂 Categoria]]," ","_"))</f>
        <v/>
      </c>
      <c r="I341" s="273"/>
    </row>
    <row r="342" spans="1:9">
      <c r="A342" s="55"/>
      <c r="B342" s="56"/>
      <c r="C342" s="56"/>
      <c r="D342" s="56"/>
      <c r="E342" s="57"/>
      <c r="F342" s="58"/>
      <c r="G342" s="56"/>
      <c r="H342" s="63" t="str">
        <f>IF(tbCartoes[[#This Row],[📂 Categoria]]="","",SUBSTITUTE(tbCartoes[[#This Row],[📂 Categoria]]," ","_"))</f>
        <v/>
      </c>
      <c r="I342" s="272"/>
    </row>
    <row r="343" spans="1:9">
      <c r="A343" s="59"/>
      <c r="B343" s="60"/>
      <c r="C343" s="60"/>
      <c r="D343" s="60"/>
      <c r="E343" s="61"/>
      <c r="F343" s="62"/>
      <c r="G343" s="60"/>
      <c r="H343" s="64" t="str">
        <f>IF(tbCartoes[[#This Row],[📂 Categoria]]="","",SUBSTITUTE(tbCartoes[[#This Row],[📂 Categoria]]," ","_"))</f>
        <v/>
      </c>
      <c r="I343" s="273"/>
    </row>
    <row r="344" spans="1:9">
      <c r="A344" s="55"/>
      <c r="B344" s="56"/>
      <c r="C344" s="56"/>
      <c r="D344" s="56"/>
      <c r="E344" s="57"/>
      <c r="F344" s="58"/>
      <c r="G344" s="56"/>
      <c r="H344" s="63" t="str">
        <f>IF(tbCartoes[[#This Row],[📂 Categoria]]="","",SUBSTITUTE(tbCartoes[[#This Row],[📂 Categoria]]," ","_"))</f>
        <v/>
      </c>
      <c r="I344" s="272"/>
    </row>
    <row r="345" spans="1:9">
      <c r="A345" s="59"/>
      <c r="B345" s="60"/>
      <c r="C345" s="60"/>
      <c r="D345" s="60"/>
      <c r="E345" s="61"/>
      <c r="F345" s="62"/>
      <c r="G345" s="60"/>
      <c r="H345" s="64" t="str">
        <f>IF(tbCartoes[[#This Row],[📂 Categoria]]="","",SUBSTITUTE(tbCartoes[[#This Row],[📂 Categoria]]," ","_"))</f>
        <v/>
      </c>
      <c r="I345" s="273"/>
    </row>
    <row r="346" spans="1:9">
      <c r="A346" s="55"/>
      <c r="B346" s="56"/>
      <c r="C346" s="56"/>
      <c r="D346" s="56"/>
      <c r="E346" s="57"/>
      <c r="F346" s="58"/>
      <c r="G346" s="56"/>
      <c r="H346" s="63" t="str">
        <f>IF(tbCartoes[[#This Row],[📂 Categoria]]="","",SUBSTITUTE(tbCartoes[[#This Row],[📂 Categoria]]," ","_"))</f>
        <v/>
      </c>
      <c r="I346" s="272"/>
    </row>
    <row r="347" spans="1:9">
      <c r="A347" s="59"/>
      <c r="B347" s="60"/>
      <c r="C347" s="60"/>
      <c r="D347" s="60"/>
      <c r="E347" s="61"/>
      <c r="F347" s="62"/>
      <c r="G347" s="60"/>
      <c r="H347" s="64" t="str">
        <f>IF(tbCartoes[[#This Row],[📂 Categoria]]="","",SUBSTITUTE(tbCartoes[[#This Row],[📂 Categoria]]," ","_"))</f>
        <v/>
      </c>
      <c r="I347" s="273"/>
    </row>
    <row r="348" spans="1:9">
      <c r="A348" s="55"/>
      <c r="B348" s="56"/>
      <c r="C348" s="56"/>
      <c r="D348" s="56"/>
      <c r="E348" s="57"/>
      <c r="F348" s="58"/>
      <c r="G348" s="56"/>
      <c r="H348" s="63" t="str">
        <f>IF(tbCartoes[[#This Row],[📂 Categoria]]="","",SUBSTITUTE(tbCartoes[[#This Row],[📂 Categoria]]," ","_"))</f>
        <v/>
      </c>
      <c r="I348" s="272"/>
    </row>
    <row r="349" spans="1:9">
      <c r="A349" s="59"/>
      <c r="B349" s="60"/>
      <c r="C349" s="60"/>
      <c r="D349" s="60"/>
      <c r="E349" s="61"/>
      <c r="F349" s="62"/>
      <c r="G349" s="60"/>
      <c r="H349" s="64" t="str">
        <f>IF(tbCartoes[[#This Row],[📂 Categoria]]="","",SUBSTITUTE(tbCartoes[[#This Row],[📂 Categoria]]," ","_"))</f>
        <v/>
      </c>
      <c r="I349" s="273"/>
    </row>
    <row r="350" spans="1:9">
      <c r="A350" s="55"/>
      <c r="B350" s="56"/>
      <c r="C350" s="56"/>
      <c r="D350" s="56"/>
      <c r="E350" s="57"/>
      <c r="F350" s="58"/>
      <c r="G350" s="56"/>
      <c r="H350" s="63" t="str">
        <f>IF(tbCartoes[[#This Row],[📂 Categoria]]="","",SUBSTITUTE(tbCartoes[[#This Row],[📂 Categoria]]," ","_"))</f>
        <v/>
      </c>
      <c r="I350" s="272"/>
    </row>
    <row r="351" spans="1:9">
      <c r="A351" s="59"/>
      <c r="B351" s="60"/>
      <c r="C351" s="60"/>
      <c r="D351" s="60"/>
      <c r="E351" s="61"/>
      <c r="F351" s="62"/>
      <c r="G351" s="60"/>
      <c r="H351" s="64" t="str">
        <f>IF(tbCartoes[[#This Row],[📂 Categoria]]="","",SUBSTITUTE(tbCartoes[[#This Row],[📂 Categoria]]," ","_"))</f>
        <v/>
      </c>
      <c r="I351" s="273"/>
    </row>
    <row r="352" spans="1:9">
      <c r="A352" s="55"/>
      <c r="B352" s="56"/>
      <c r="C352" s="56"/>
      <c r="D352" s="56"/>
      <c r="E352" s="57"/>
      <c r="F352" s="58"/>
      <c r="G352" s="56"/>
      <c r="H352" s="63" t="str">
        <f>IF(tbCartoes[[#This Row],[📂 Categoria]]="","",SUBSTITUTE(tbCartoes[[#This Row],[📂 Categoria]]," ","_"))</f>
        <v/>
      </c>
      <c r="I352" s="272"/>
    </row>
    <row r="353" spans="1:9">
      <c r="A353" s="59"/>
      <c r="B353" s="60"/>
      <c r="C353" s="60"/>
      <c r="D353" s="60"/>
      <c r="E353" s="61"/>
      <c r="F353" s="62"/>
      <c r="G353" s="60"/>
      <c r="H353" s="64" t="str">
        <f>IF(tbCartoes[[#This Row],[📂 Categoria]]="","",SUBSTITUTE(tbCartoes[[#This Row],[📂 Categoria]]," ","_"))</f>
        <v/>
      </c>
      <c r="I353" s="273"/>
    </row>
    <row r="354" spans="1:9">
      <c r="A354" s="55"/>
      <c r="B354" s="56"/>
      <c r="C354" s="56"/>
      <c r="D354" s="56"/>
      <c r="E354" s="57"/>
      <c r="F354" s="58"/>
      <c r="G354" s="56"/>
      <c r="H354" s="63" t="str">
        <f>IF(tbCartoes[[#This Row],[📂 Categoria]]="","",SUBSTITUTE(tbCartoes[[#This Row],[📂 Categoria]]," ","_"))</f>
        <v/>
      </c>
      <c r="I354" s="272"/>
    </row>
    <row r="355" spans="1:9">
      <c r="A355" s="59"/>
      <c r="B355" s="60"/>
      <c r="C355" s="60"/>
      <c r="D355" s="60"/>
      <c r="E355" s="61"/>
      <c r="F355" s="62"/>
      <c r="G355" s="60"/>
      <c r="H355" s="64" t="str">
        <f>IF(tbCartoes[[#This Row],[📂 Categoria]]="","",SUBSTITUTE(tbCartoes[[#This Row],[📂 Categoria]]," ","_"))</f>
        <v/>
      </c>
      <c r="I355" s="273"/>
    </row>
    <row r="356" spans="1:9">
      <c r="A356" s="55"/>
      <c r="B356" s="56"/>
      <c r="C356" s="56"/>
      <c r="D356" s="56"/>
      <c r="E356" s="57"/>
      <c r="F356" s="58"/>
      <c r="G356" s="56"/>
      <c r="H356" s="63" t="str">
        <f>IF(tbCartoes[[#This Row],[📂 Categoria]]="","",SUBSTITUTE(tbCartoes[[#This Row],[📂 Categoria]]," ","_"))</f>
        <v/>
      </c>
      <c r="I356" s="272"/>
    </row>
    <row r="357" spans="1:9">
      <c r="A357" s="59"/>
      <c r="B357" s="60"/>
      <c r="C357" s="60"/>
      <c r="D357" s="60"/>
      <c r="E357" s="61"/>
      <c r="F357" s="62"/>
      <c r="G357" s="60"/>
      <c r="H357" s="64" t="str">
        <f>IF(tbCartoes[[#This Row],[📂 Categoria]]="","",SUBSTITUTE(tbCartoes[[#This Row],[📂 Categoria]]," ","_"))</f>
        <v/>
      </c>
      <c r="I357" s="273"/>
    </row>
    <row r="358" spans="1:9">
      <c r="A358" s="55"/>
      <c r="B358" s="56"/>
      <c r="C358" s="56"/>
      <c r="D358" s="56"/>
      <c r="E358" s="57"/>
      <c r="F358" s="58"/>
      <c r="G358" s="56"/>
      <c r="H358" s="63" t="str">
        <f>IF(tbCartoes[[#This Row],[📂 Categoria]]="","",SUBSTITUTE(tbCartoes[[#This Row],[📂 Categoria]]," ","_"))</f>
        <v/>
      </c>
      <c r="I358" s="272"/>
    </row>
    <row r="359" spans="1:9">
      <c r="A359" s="59"/>
      <c r="B359" s="60"/>
      <c r="C359" s="60"/>
      <c r="D359" s="60"/>
      <c r="E359" s="61"/>
      <c r="F359" s="62"/>
      <c r="G359" s="60"/>
      <c r="H359" s="64" t="str">
        <f>IF(tbCartoes[[#This Row],[📂 Categoria]]="","",SUBSTITUTE(tbCartoes[[#This Row],[📂 Categoria]]," ","_"))</f>
        <v/>
      </c>
      <c r="I359" s="273"/>
    </row>
    <row r="360" spans="1:9">
      <c r="A360" s="55"/>
      <c r="B360" s="56"/>
      <c r="C360" s="56"/>
      <c r="D360" s="56"/>
      <c r="E360" s="57"/>
      <c r="F360" s="58"/>
      <c r="G360" s="56"/>
      <c r="H360" s="63" t="str">
        <f>IF(tbCartoes[[#This Row],[📂 Categoria]]="","",SUBSTITUTE(tbCartoes[[#This Row],[📂 Categoria]]," ","_"))</f>
        <v/>
      </c>
      <c r="I360" s="272"/>
    </row>
    <row r="361" spans="1:9">
      <c r="A361" s="59"/>
      <c r="B361" s="60"/>
      <c r="C361" s="60"/>
      <c r="D361" s="60"/>
      <c r="E361" s="61"/>
      <c r="F361" s="62"/>
      <c r="G361" s="60"/>
      <c r="H361" s="64" t="str">
        <f>IF(tbCartoes[[#This Row],[📂 Categoria]]="","",SUBSTITUTE(tbCartoes[[#This Row],[📂 Categoria]]," ","_"))</f>
        <v/>
      </c>
      <c r="I361" s="273"/>
    </row>
    <row r="362" spans="1:9">
      <c r="A362" s="55"/>
      <c r="B362" s="56"/>
      <c r="C362" s="56"/>
      <c r="D362" s="56"/>
      <c r="E362" s="57"/>
      <c r="F362" s="58"/>
      <c r="G362" s="56"/>
      <c r="H362" s="63" t="str">
        <f>IF(tbCartoes[[#This Row],[📂 Categoria]]="","",SUBSTITUTE(tbCartoes[[#This Row],[📂 Categoria]]," ","_"))</f>
        <v/>
      </c>
      <c r="I362" s="272"/>
    </row>
    <row r="363" spans="1:9">
      <c r="A363" s="59"/>
      <c r="B363" s="60"/>
      <c r="C363" s="60"/>
      <c r="D363" s="60"/>
      <c r="E363" s="61"/>
      <c r="F363" s="62"/>
      <c r="G363" s="60"/>
      <c r="H363" s="64" t="str">
        <f>IF(tbCartoes[[#This Row],[📂 Categoria]]="","",SUBSTITUTE(tbCartoes[[#This Row],[📂 Categoria]]," ","_"))</f>
        <v/>
      </c>
      <c r="I363" s="273"/>
    </row>
    <row r="364" spans="1:9">
      <c r="A364" s="55"/>
      <c r="B364" s="56"/>
      <c r="C364" s="56"/>
      <c r="D364" s="56"/>
      <c r="E364" s="57"/>
      <c r="F364" s="58"/>
      <c r="G364" s="56"/>
      <c r="H364" s="63" t="str">
        <f>IF(tbCartoes[[#This Row],[📂 Categoria]]="","",SUBSTITUTE(tbCartoes[[#This Row],[📂 Categoria]]," ","_"))</f>
        <v/>
      </c>
      <c r="I364" s="272"/>
    </row>
    <row r="365" spans="1:9">
      <c r="A365" s="59"/>
      <c r="B365" s="60"/>
      <c r="C365" s="60"/>
      <c r="D365" s="60"/>
      <c r="E365" s="61"/>
      <c r="F365" s="62"/>
      <c r="G365" s="60"/>
      <c r="H365" s="64" t="str">
        <f>IF(tbCartoes[[#This Row],[📂 Categoria]]="","",SUBSTITUTE(tbCartoes[[#This Row],[📂 Categoria]]," ","_"))</f>
        <v/>
      </c>
      <c r="I365" s="273"/>
    </row>
    <row r="366" spans="1:9">
      <c r="A366" s="55"/>
      <c r="B366" s="56"/>
      <c r="C366" s="56"/>
      <c r="D366" s="56"/>
      <c r="E366" s="57"/>
      <c r="F366" s="58"/>
      <c r="G366" s="56"/>
      <c r="H366" s="63" t="str">
        <f>IF(tbCartoes[[#This Row],[📂 Categoria]]="","",SUBSTITUTE(tbCartoes[[#This Row],[📂 Categoria]]," ","_"))</f>
        <v/>
      </c>
      <c r="I366" s="272"/>
    </row>
    <row r="367" spans="1:9">
      <c r="A367" s="59"/>
      <c r="B367" s="60"/>
      <c r="C367" s="60"/>
      <c r="D367" s="60"/>
      <c r="E367" s="61"/>
      <c r="F367" s="62"/>
      <c r="G367" s="60"/>
      <c r="H367" s="64" t="str">
        <f>IF(tbCartoes[[#This Row],[📂 Categoria]]="","",SUBSTITUTE(tbCartoes[[#This Row],[📂 Categoria]]," ","_"))</f>
        <v/>
      </c>
      <c r="I367" s="273"/>
    </row>
    <row r="368" spans="1:9">
      <c r="A368" s="55"/>
      <c r="B368" s="56"/>
      <c r="C368" s="56"/>
      <c r="D368" s="56"/>
      <c r="E368" s="57"/>
      <c r="F368" s="58"/>
      <c r="G368" s="56"/>
      <c r="H368" s="63" t="str">
        <f>IF(tbCartoes[[#This Row],[📂 Categoria]]="","",SUBSTITUTE(tbCartoes[[#This Row],[📂 Categoria]]," ","_"))</f>
        <v/>
      </c>
      <c r="I368" s="272"/>
    </row>
    <row r="369" spans="1:9">
      <c r="A369" s="59"/>
      <c r="B369" s="60"/>
      <c r="C369" s="60"/>
      <c r="D369" s="60"/>
      <c r="E369" s="61"/>
      <c r="F369" s="62"/>
      <c r="G369" s="60"/>
      <c r="H369" s="64" t="str">
        <f>IF(tbCartoes[[#This Row],[📂 Categoria]]="","",SUBSTITUTE(tbCartoes[[#This Row],[📂 Categoria]]," ","_"))</f>
        <v/>
      </c>
      <c r="I369" s="273"/>
    </row>
    <row r="370" spans="1:9">
      <c r="A370" s="55"/>
      <c r="B370" s="56"/>
      <c r="C370" s="56"/>
      <c r="D370" s="56"/>
      <c r="E370" s="57"/>
      <c r="F370" s="58"/>
      <c r="G370" s="56"/>
      <c r="H370" s="63" t="str">
        <f>IF(tbCartoes[[#This Row],[📂 Categoria]]="","",SUBSTITUTE(tbCartoes[[#This Row],[📂 Categoria]]," ","_"))</f>
        <v/>
      </c>
      <c r="I370" s="272"/>
    </row>
    <row r="371" spans="1:9">
      <c r="A371" s="59"/>
      <c r="B371" s="60"/>
      <c r="C371" s="60"/>
      <c r="D371" s="60"/>
      <c r="E371" s="61"/>
      <c r="F371" s="62"/>
      <c r="G371" s="60"/>
      <c r="H371" s="64" t="str">
        <f>IF(tbCartoes[[#This Row],[📂 Categoria]]="","",SUBSTITUTE(tbCartoes[[#This Row],[📂 Categoria]]," ","_"))</f>
        <v/>
      </c>
      <c r="I371" s="273"/>
    </row>
    <row r="372" spans="1:9">
      <c r="A372" s="55"/>
      <c r="B372" s="56"/>
      <c r="C372" s="56"/>
      <c r="D372" s="56"/>
      <c r="E372" s="57"/>
      <c r="F372" s="58"/>
      <c r="G372" s="56"/>
      <c r="H372" s="63" t="str">
        <f>IF(tbCartoes[[#This Row],[📂 Categoria]]="","",SUBSTITUTE(tbCartoes[[#This Row],[📂 Categoria]]," ","_"))</f>
        <v/>
      </c>
      <c r="I372" s="272"/>
    </row>
    <row r="373" spans="1:9">
      <c r="A373" s="59"/>
      <c r="B373" s="60"/>
      <c r="C373" s="60"/>
      <c r="D373" s="60"/>
      <c r="E373" s="61"/>
      <c r="F373" s="62"/>
      <c r="G373" s="60"/>
      <c r="H373" s="64" t="str">
        <f>IF(tbCartoes[[#This Row],[📂 Categoria]]="","",SUBSTITUTE(tbCartoes[[#This Row],[📂 Categoria]]," ","_"))</f>
        <v/>
      </c>
      <c r="I373" s="273"/>
    </row>
    <row r="374" spans="1:9">
      <c r="A374" s="55"/>
      <c r="B374" s="56"/>
      <c r="C374" s="56"/>
      <c r="D374" s="56"/>
      <c r="E374" s="57"/>
      <c r="F374" s="58"/>
      <c r="G374" s="56"/>
      <c r="H374" s="63" t="str">
        <f>IF(tbCartoes[[#This Row],[📂 Categoria]]="","",SUBSTITUTE(tbCartoes[[#This Row],[📂 Categoria]]," ","_"))</f>
        <v/>
      </c>
      <c r="I374" s="272"/>
    </row>
    <row r="375" spans="1:9">
      <c r="A375" s="59"/>
      <c r="B375" s="60"/>
      <c r="C375" s="60"/>
      <c r="D375" s="60"/>
      <c r="E375" s="61"/>
      <c r="F375" s="62"/>
      <c r="G375" s="60"/>
      <c r="H375" s="64" t="str">
        <f>IF(tbCartoes[[#This Row],[📂 Categoria]]="","",SUBSTITUTE(tbCartoes[[#This Row],[📂 Categoria]]," ","_"))</f>
        <v/>
      </c>
      <c r="I375" s="273"/>
    </row>
    <row r="376" spans="1:9">
      <c r="A376" s="55"/>
      <c r="B376" s="56"/>
      <c r="C376" s="56"/>
      <c r="D376" s="56"/>
      <c r="E376" s="57"/>
      <c r="F376" s="58"/>
      <c r="G376" s="56"/>
      <c r="H376" s="63" t="str">
        <f>IF(tbCartoes[[#This Row],[📂 Categoria]]="","",SUBSTITUTE(tbCartoes[[#This Row],[📂 Categoria]]," ","_"))</f>
        <v/>
      </c>
      <c r="I376" s="272"/>
    </row>
    <row r="377" spans="1:9">
      <c r="A377" s="59"/>
      <c r="B377" s="60"/>
      <c r="C377" s="60"/>
      <c r="D377" s="60"/>
      <c r="E377" s="61"/>
      <c r="F377" s="62"/>
      <c r="G377" s="60"/>
      <c r="H377" s="64" t="str">
        <f>IF(tbCartoes[[#This Row],[📂 Categoria]]="","",SUBSTITUTE(tbCartoes[[#This Row],[📂 Categoria]]," ","_"))</f>
        <v/>
      </c>
      <c r="I377" s="273"/>
    </row>
    <row r="378" spans="1:9">
      <c r="A378" s="55"/>
      <c r="B378" s="56"/>
      <c r="C378" s="56"/>
      <c r="D378" s="56"/>
      <c r="E378" s="57"/>
      <c r="F378" s="58"/>
      <c r="G378" s="56"/>
      <c r="H378" s="63" t="str">
        <f>IF(tbCartoes[[#This Row],[📂 Categoria]]="","",SUBSTITUTE(tbCartoes[[#This Row],[📂 Categoria]]," ","_"))</f>
        <v/>
      </c>
      <c r="I378" s="272"/>
    </row>
    <row r="379" spans="1:9">
      <c r="A379" s="59"/>
      <c r="B379" s="60"/>
      <c r="C379" s="60"/>
      <c r="D379" s="60"/>
      <c r="E379" s="61"/>
      <c r="F379" s="62"/>
      <c r="G379" s="60"/>
      <c r="H379" s="64" t="str">
        <f>IF(tbCartoes[[#This Row],[📂 Categoria]]="","",SUBSTITUTE(tbCartoes[[#This Row],[📂 Categoria]]," ","_"))</f>
        <v/>
      </c>
      <c r="I379" s="273"/>
    </row>
    <row r="380" spans="1:9">
      <c r="A380" s="55"/>
      <c r="B380" s="56"/>
      <c r="C380" s="56"/>
      <c r="D380" s="56"/>
      <c r="E380" s="57"/>
      <c r="F380" s="58"/>
      <c r="G380" s="56"/>
      <c r="H380" s="63" t="str">
        <f>IF(tbCartoes[[#This Row],[📂 Categoria]]="","",SUBSTITUTE(tbCartoes[[#This Row],[📂 Categoria]]," ","_"))</f>
        <v/>
      </c>
      <c r="I380" s="272"/>
    </row>
    <row r="381" spans="1:9">
      <c r="A381" s="59"/>
      <c r="B381" s="60"/>
      <c r="C381" s="60"/>
      <c r="D381" s="60"/>
      <c r="E381" s="61"/>
      <c r="F381" s="62"/>
      <c r="G381" s="60"/>
      <c r="H381" s="64" t="str">
        <f>IF(tbCartoes[[#This Row],[📂 Categoria]]="","",SUBSTITUTE(tbCartoes[[#This Row],[📂 Categoria]]," ","_"))</f>
        <v/>
      </c>
      <c r="I381" s="273"/>
    </row>
    <row r="382" spans="1:9">
      <c r="A382" s="55"/>
      <c r="B382" s="56"/>
      <c r="C382" s="56"/>
      <c r="D382" s="56"/>
      <c r="E382" s="57"/>
      <c r="F382" s="58"/>
      <c r="G382" s="56"/>
      <c r="H382" s="63" t="str">
        <f>IF(tbCartoes[[#This Row],[📂 Categoria]]="","",SUBSTITUTE(tbCartoes[[#This Row],[📂 Categoria]]," ","_"))</f>
        <v/>
      </c>
      <c r="I382" s="272"/>
    </row>
    <row r="383" spans="1:9">
      <c r="A383" s="59"/>
      <c r="B383" s="60"/>
      <c r="C383" s="60"/>
      <c r="D383" s="60"/>
      <c r="E383" s="61"/>
      <c r="F383" s="62"/>
      <c r="G383" s="60"/>
      <c r="H383" s="64" t="str">
        <f>IF(tbCartoes[[#This Row],[📂 Categoria]]="","",SUBSTITUTE(tbCartoes[[#This Row],[📂 Categoria]]," ","_"))</f>
        <v/>
      </c>
      <c r="I383" s="273"/>
    </row>
    <row r="384" spans="1:9">
      <c r="A384" s="55"/>
      <c r="B384" s="56"/>
      <c r="C384" s="56"/>
      <c r="D384" s="56"/>
      <c r="E384" s="57"/>
      <c r="F384" s="58"/>
      <c r="G384" s="56"/>
      <c r="H384" s="63" t="str">
        <f>IF(tbCartoes[[#This Row],[📂 Categoria]]="","",SUBSTITUTE(tbCartoes[[#This Row],[📂 Categoria]]," ","_"))</f>
        <v/>
      </c>
      <c r="I384" s="272"/>
    </row>
    <row r="385" spans="1:9">
      <c r="A385" s="59"/>
      <c r="B385" s="60"/>
      <c r="C385" s="60"/>
      <c r="D385" s="60"/>
      <c r="E385" s="61"/>
      <c r="F385" s="62"/>
      <c r="G385" s="60"/>
      <c r="H385" s="64" t="str">
        <f>IF(tbCartoes[[#This Row],[📂 Categoria]]="","",SUBSTITUTE(tbCartoes[[#This Row],[📂 Categoria]]," ","_"))</f>
        <v/>
      </c>
      <c r="I385" s="273"/>
    </row>
    <row r="386" spans="1:9">
      <c r="A386" s="55"/>
      <c r="B386" s="56"/>
      <c r="C386" s="56"/>
      <c r="D386" s="56"/>
      <c r="E386" s="57"/>
      <c r="F386" s="58"/>
      <c r="G386" s="56"/>
      <c r="H386" s="63" t="str">
        <f>IF(tbCartoes[[#This Row],[📂 Categoria]]="","",SUBSTITUTE(tbCartoes[[#This Row],[📂 Categoria]]," ","_"))</f>
        <v/>
      </c>
      <c r="I386" s="272"/>
    </row>
    <row r="387" spans="1:9">
      <c r="A387" s="59"/>
      <c r="B387" s="60"/>
      <c r="C387" s="60"/>
      <c r="D387" s="60"/>
      <c r="E387" s="61"/>
      <c r="F387" s="62"/>
      <c r="G387" s="60"/>
      <c r="H387" s="64" t="str">
        <f>IF(tbCartoes[[#This Row],[📂 Categoria]]="","",SUBSTITUTE(tbCartoes[[#This Row],[📂 Categoria]]," ","_"))</f>
        <v/>
      </c>
      <c r="I387" s="273"/>
    </row>
    <row r="388" spans="1:9">
      <c r="A388" s="55"/>
      <c r="B388" s="56"/>
      <c r="C388" s="56"/>
      <c r="D388" s="56"/>
      <c r="E388" s="57"/>
      <c r="F388" s="58"/>
      <c r="G388" s="56"/>
      <c r="H388" s="63" t="str">
        <f>IF(tbCartoes[[#This Row],[📂 Categoria]]="","",SUBSTITUTE(tbCartoes[[#This Row],[📂 Categoria]]," ","_"))</f>
        <v/>
      </c>
      <c r="I388" s="272"/>
    </row>
    <row r="389" spans="1:9">
      <c r="A389" s="59"/>
      <c r="B389" s="60"/>
      <c r="C389" s="60"/>
      <c r="D389" s="60"/>
      <c r="E389" s="61"/>
      <c r="F389" s="62"/>
      <c r="G389" s="60"/>
      <c r="H389" s="64" t="str">
        <f>IF(tbCartoes[[#This Row],[📂 Categoria]]="","",SUBSTITUTE(tbCartoes[[#This Row],[📂 Categoria]]," ","_"))</f>
        <v/>
      </c>
      <c r="I389" s="273"/>
    </row>
    <row r="390" spans="1:9">
      <c r="A390" s="55"/>
      <c r="B390" s="56"/>
      <c r="C390" s="56"/>
      <c r="D390" s="56"/>
      <c r="E390" s="57"/>
      <c r="F390" s="58"/>
      <c r="G390" s="56"/>
      <c r="H390" s="63" t="str">
        <f>IF(tbCartoes[[#This Row],[📂 Categoria]]="","",SUBSTITUTE(tbCartoes[[#This Row],[📂 Categoria]]," ","_"))</f>
        <v/>
      </c>
      <c r="I390" s="272"/>
    </row>
    <row r="391" spans="1:9">
      <c r="A391" s="59"/>
      <c r="B391" s="60"/>
      <c r="C391" s="60"/>
      <c r="D391" s="60"/>
      <c r="E391" s="61"/>
      <c r="F391" s="62"/>
      <c r="G391" s="60"/>
      <c r="H391" s="64" t="str">
        <f>IF(tbCartoes[[#This Row],[📂 Categoria]]="","",SUBSTITUTE(tbCartoes[[#This Row],[📂 Categoria]]," ","_"))</f>
        <v/>
      </c>
      <c r="I391" s="273"/>
    </row>
    <row r="392" spans="1:9">
      <c r="A392" s="55"/>
      <c r="B392" s="56"/>
      <c r="C392" s="56"/>
      <c r="D392" s="56"/>
      <c r="E392" s="57"/>
      <c r="F392" s="58"/>
      <c r="G392" s="56"/>
      <c r="H392" s="63" t="str">
        <f>IF(tbCartoes[[#This Row],[📂 Categoria]]="","",SUBSTITUTE(tbCartoes[[#This Row],[📂 Categoria]]," ","_"))</f>
        <v/>
      </c>
      <c r="I392" s="272"/>
    </row>
    <row r="393" spans="1:9">
      <c r="A393" s="59"/>
      <c r="B393" s="60"/>
      <c r="C393" s="60"/>
      <c r="D393" s="60"/>
      <c r="E393" s="61"/>
      <c r="F393" s="62"/>
      <c r="G393" s="60"/>
      <c r="H393" s="64" t="str">
        <f>IF(tbCartoes[[#This Row],[📂 Categoria]]="","",SUBSTITUTE(tbCartoes[[#This Row],[📂 Categoria]]," ","_"))</f>
        <v/>
      </c>
      <c r="I393" s="273"/>
    </row>
    <row r="394" spans="1:9">
      <c r="A394" s="55"/>
      <c r="B394" s="56"/>
      <c r="C394" s="56"/>
      <c r="D394" s="56"/>
      <c r="E394" s="57"/>
      <c r="F394" s="58"/>
      <c r="G394" s="56"/>
      <c r="H394" s="63" t="str">
        <f>IF(tbCartoes[[#This Row],[📂 Categoria]]="","",SUBSTITUTE(tbCartoes[[#This Row],[📂 Categoria]]," ","_"))</f>
        <v/>
      </c>
      <c r="I394" s="272"/>
    </row>
    <row r="395" spans="1:9">
      <c r="A395" s="59"/>
      <c r="B395" s="60"/>
      <c r="C395" s="60"/>
      <c r="D395" s="60"/>
      <c r="E395" s="61"/>
      <c r="F395" s="62"/>
      <c r="G395" s="60"/>
      <c r="H395" s="64" t="str">
        <f>IF(tbCartoes[[#This Row],[📂 Categoria]]="","",SUBSTITUTE(tbCartoes[[#This Row],[📂 Categoria]]," ","_"))</f>
        <v/>
      </c>
      <c r="I395" s="273"/>
    </row>
    <row r="396" spans="1:9">
      <c r="A396" s="55"/>
      <c r="B396" s="56"/>
      <c r="C396" s="56"/>
      <c r="D396" s="56"/>
      <c r="E396" s="57"/>
      <c r="F396" s="58"/>
      <c r="G396" s="56"/>
      <c r="H396" s="63" t="str">
        <f>IF(tbCartoes[[#This Row],[📂 Categoria]]="","",SUBSTITUTE(tbCartoes[[#This Row],[📂 Categoria]]," ","_"))</f>
        <v/>
      </c>
      <c r="I396" s="272"/>
    </row>
    <row r="397" spans="1:9">
      <c r="A397" s="59"/>
      <c r="B397" s="60"/>
      <c r="C397" s="60"/>
      <c r="D397" s="60"/>
      <c r="E397" s="61"/>
      <c r="F397" s="62"/>
      <c r="G397" s="60"/>
      <c r="H397" s="64" t="str">
        <f>IF(tbCartoes[[#This Row],[📂 Categoria]]="","",SUBSTITUTE(tbCartoes[[#This Row],[📂 Categoria]]," ","_"))</f>
        <v/>
      </c>
      <c r="I397" s="273"/>
    </row>
    <row r="398" spans="1:9">
      <c r="A398" s="55"/>
      <c r="B398" s="56"/>
      <c r="C398" s="56"/>
      <c r="D398" s="56"/>
      <c r="E398" s="57"/>
      <c r="F398" s="58"/>
      <c r="G398" s="56"/>
      <c r="H398" s="63" t="str">
        <f>IF(tbCartoes[[#This Row],[📂 Categoria]]="","",SUBSTITUTE(tbCartoes[[#This Row],[📂 Categoria]]," ","_"))</f>
        <v/>
      </c>
      <c r="I398" s="272"/>
    </row>
    <row r="399" spans="1:9">
      <c r="A399" s="59"/>
      <c r="B399" s="60"/>
      <c r="C399" s="60"/>
      <c r="D399" s="60"/>
      <c r="E399" s="61"/>
      <c r="F399" s="62"/>
      <c r="G399" s="60"/>
      <c r="H399" s="64" t="str">
        <f>IF(tbCartoes[[#This Row],[📂 Categoria]]="","",SUBSTITUTE(tbCartoes[[#This Row],[📂 Categoria]]," ","_"))</f>
        <v/>
      </c>
      <c r="I399" s="273"/>
    </row>
    <row r="400" spans="1:9">
      <c r="A400" s="55"/>
      <c r="B400" s="56"/>
      <c r="C400" s="56"/>
      <c r="D400" s="56"/>
      <c r="E400" s="57"/>
      <c r="F400" s="58"/>
      <c r="G400" s="56"/>
      <c r="H400" s="63" t="str">
        <f>IF(tbCartoes[[#This Row],[📂 Categoria]]="","",SUBSTITUTE(tbCartoes[[#This Row],[📂 Categoria]]," ","_"))</f>
        <v/>
      </c>
      <c r="I400" s="272"/>
    </row>
    <row r="401" spans="1:9">
      <c r="A401" s="59"/>
      <c r="B401" s="60"/>
      <c r="C401" s="60"/>
      <c r="D401" s="60"/>
      <c r="E401" s="61"/>
      <c r="F401" s="62"/>
      <c r="G401" s="60"/>
      <c r="H401" s="64" t="str">
        <f>IF(tbCartoes[[#This Row],[📂 Categoria]]="","",SUBSTITUTE(tbCartoes[[#This Row],[📂 Categoria]]," ","_"))</f>
        <v/>
      </c>
      <c r="I401" s="273"/>
    </row>
    <row r="402" spans="1:9">
      <c r="A402" s="55"/>
      <c r="B402" s="56"/>
      <c r="C402" s="56"/>
      <c r="D402" s="56"/>
      <c r="E402" s="57"/>
      <c r="F402" s="58"/>
      <c r="G402" s="56"/>
      <c r="H402" s="63" t="str">
        <f>IF(tbCartoes[[#This Row],[📂 Categoria]]="","",SUBSTITUTE(tbCartoes[[#This Row],[📂 Categoria]]," ","_"))</f>
        <v/>
      </c>
      <c r="I402" s="272"/>
    </row>
    <row r="403" spans="1:9">
      <c r="A403" s="59"/>
      <c r="B403" s="60"/>
      <c r="C403" s="60"/>
      <c r="D403" s="60"/>
      <c r="E403" s="61"/>
      <c r="F403" s="62"/>
      <c r="G403" s="60"/>
      <c r="H403" s="64" t="str">
        <f>IF(tbCartoes[[#This Row],[📂 Categoria]]="","",SUBSTITUTE(tbCartoes[[#This Row],[📂 Categoria]]," ","_"))</f>
        <v/>
      </c>
      <c r="I403" s="273"/>
    </row>
    <row r="404" spans="1:9">
      <c r="A404" s="55"/>
      <c r="B404" s="56"/>
      <c r="C404" s="56"/>
      <c r="D404" s="56"/>
      <c r="E404" s="57"/>
      <c r="F404" s="58"/>
      <c r="G404" s="56"/>
      <c r="H404" s="63" t="str">
        <f>IF(tbCartoes[[#This Row],[📂 Categoria]]="","",SUBSTITUTE(tbCartoes[[#This Row],[📂 Categoria]]," ","_"))</f>
        <v/>
      </c>
      <c r="I404" s="272"/>
    </row>
    <row r="405" spans="1:9">
      <c r="A405" s="59"/>
      <c r="B405" s="60"/>
      <c r="C405" s="60"/>
      <c r="D405" s="60"/>
      <c r="E405" s="61"/>
      <c r="F405" s="62"/>
      <c r="G405" s="60"/>
      <c r="H405" s="64" t="str">
        <f>IF(tbCartoes[[#This Row],[📂 Categoria]]="","",SUBSTITUTE(tbCartoes[[#This Row],[📂 Categoria]]," ","_"))</f>
        <v/>
      </c>
      <c r="I405" s="273"/>
    </row>
    <row r="406" spans="1:9">
      <c r="A406" s="55"/>
      <c r="B406" s="56"/>
      <c r="C406" s="56"/>
      <c r="D406" s="56"/>
      <c r="E406" s="57"/>
      <c r="F406" s="58"/>
      <c r="G406" s="56"/>
      <c r="H406" s="63" t="str">
        <f>IF(tbCartoes[[#This Row],[📂 Categoria]]="","",SUBSTITUTE(tbCartoes[[#This Row],[📂 Categoria]]," ","_"))</f>
        <v/>
      </c>
      <c r="I406" s="272"/>
    </row>
    <row r="407" spans="1:9">
      <c r="A407" s="59"/>
      <c r="B407" s="60"/>
      <c r="C407" s="60"/>
      <c r="D407" s="60"/>
      <c r="E407" s="61"/>
      <c r="F407" s="62"/>
      <c r="G407" s="60"/>
      <c r="H407" s="64" t="str">
        <f>IF(tbCartoes[[#This Row],[📂 Categoria]]="","",SUBSTITUTE(tbCartoes[[#This Row],[📂 Categoria]]," ","_"))</f>
        <v/>
      </c>
      <c r="I407" s="273"/>
    </row>
    <row r="408" spans="1:9">
      <c r="A408" s="55"/>
      <c r="B408" s="56"/>
      <c r="C408" s="56"/>
      <c r="D408" s="56"/>
      <c r="E408" s="57"/>
      <c r="F408" s="58"/>
      <c r="G408" s="56"/>
      <c r="H408" s="63" t="str">
        <f>IF(tbCartoes[[#This Row],[📂 Categoria]]="","",SUBSTITUTE(tbCartoes[[#This Row],[📂 Categoria]]," ","_"))</f>
        <v/>
      </c>
      <c r="I408" s="272"/>
    </row>
    <row r="409" spans="1:9">
      <c r="A409" s="59"/>
      <c r="B409" s="60"/>
      <c r="C409" s="60"/>
      <c r="D409" s="60"/>
      <c r="E409" s="61"/>
      <c r="F409" s="62"/>
      <c r="G409" s="60"/>
      <c r="H409" s="64" t="str">
        <f>IF(tbCartoes[[#This Row],[📂 Categoria]]="","",SUBSTITUTE(tbCartoes[[#This Row],[📂 Categoria]]," ","_"))</f>
        <v/>
      </c>
      <c r="I409" s="273"/>
    </row>
    <row r="410" spans="1:9">
      <c r="A410" s="55"/>
      <c r="B410" s="56"/>
      <c r="C410" s="56"/>
      <c r="D410" s="56"/>
      <c r="E410" s="57"/>
      <c r="F410" s="58"/>
      <c r="G410" s="56"/>
      <c r="H410" s="63" t="str">
        <f>IF(tbCartoes[[#This Row],[📂 Categoria]]="","",SUBSTITUTE(tbCartoes[[#This Row],[📂 Categoria]]," ","_"))</f>
        <v/>
      </c>
      <c r="I410" s="272"/>
    </row>
    <row r="411" spans="1:9">
      <c r="A411" s="59"/>
      <c r="B411" s="60"/>
      <c r="C411" s="60"/>
      <c r="D411" s="60"/>
      <c r="E411" s="61"/>
      <c r="F411" s="62"/>
      <c r="G411" s="60"/>
      <c r="H411" s="64" t="str">
        <f>IF(tbCartoes[[#This Row],[📂 Categoria]]="","",SUBSTITUTE(tbCartoes[[#This Row],[📂 Categoria]]," ","_"))</f>
        <v/>
      </c>
      <c r="I411" s="273"/>
    </row>
    <row r="412" spans="1:9">
      <c r="A412" s="55"/>
      <c r="B412" s="56"/>
      <c r="C412" s="56"/>
      <c r="D412" s="56"/>
      <c r="E412" s="57"/>
      <c r="F412" s="58"/>
      <c r="G412" s="56"/>
      <c r="H412" s="63" t="str">
        <f>IF(tbCartoes[[#This Row],[📂 Categoria]]="","",SUBSTITUTE(tbCartoes[[#This Row],[📂 Categoria]]," ","_"))</f>
        <v/>
      </c>
      <c r="I412" s="272"/>
    </row>
    <row r="413" spans="1:9">
      <c r="A413" s="59"/>
      <c r="B413" s="60"/>
      <c r="C413" s="60"/>
      <c r="D413" s="60"/>
      <c r="E413" s="61"/>
      <c r="F413" s="62"/>
      <c r="G413" s="60"/>
      <c r="H413" s="64" t="str">
        <f>IF(tbCartoes[[#This Row],[📂 Categoria]]="","",SUBSTITUTE(tbCartoes[[#This Row],[📂 Categoria]]," ","_"))</f>
        <v/>
      </c>
      <c r="I413" s="273"/>
    </row>
    <row r="414" spans="1:9">
      <c r="A414" s="55"/>
      <c r="B414" s="56"/>
      <c r="C414" s="56"/>
      <c r="D414" s="56"/>
      <c r="E414" s="57"/>
      <c r="F414" s="58"/>
      <c r="G414" s="56"/>
      <c r="H414" s="63" t="str">
        <f>IF(tbCartoes[[#This Row],[📂 Categoria]]="","",SUBSTITUTE(tbCartoes[[#This Row],[📂 Categoria]]," ","_"))</f>
        <v/>
      </c>
      <c r="I414" s="272"/>
    </row>
    <row r="415" spans="1:9">
      <c r="A415" s="59"/>
      <c r="B415" s="60"/>
      <c r="C415" s="60"/>
      <c r="D415" s="60"/>
      <c r="E415" s="61"/>
      <c r="F415" s="62"/>
      <c r="G415" s="60"/>
      <c r="H415" s="64" t="str">
        <f>IF(tbCartoes[[#This Row],[📂 Categoria]]="","",SUBSTITUTE(tbCartoes[[#This Row],[📂 Categoria]]," ","_"))</f>
        <v/>
      </c>
      <c r="I415" s="273"/>
    </row>
    <row r="416" spans="1:9">
      <c r="A416" s="55"/>
      <c r="B416" s="56"/>
      <c r="C416" s="56"/>
      <c r="D416" s="56"/>
      <c r="E416" s="57"/>
      <c r="F416" s="58"/>
      <c r="G416" s="56"/>
      <c r="H416" s="63" t="str">
        <f>IF(tbCartoes[[#This Row],[📂 Categoria]]="","",SUBSTITUTE(tbCartoes[[#This Row],[📂 Categoria]]," ","_"))</f>
        <v/>
      </c>
      <c r="I416" s="272"/>
    </row>
    <row r="417" spans="1:9">
      <c r="A417" s="59"/>
      <c r="B417" s="60"/>
      <c r="C417" s="60"/>
      <c r="D417" s="60"/>
      <c r="E417" s="61"/>
      <c r="F417" s="62"/>
      <c r="G417" s="60"/>
      <c r="H417" s="64" t="str">
        <f>IF(tbCartoes[[#This Row],[📂 Categoria]]="","",SUBSTITUTE(tbCartoes[[#This Row],[📂 Categoria]]," ","_"))</f>
        <v/>
      </c>
      <c r="I417" s="273"/>
    </row>
    <row r="418" spans="1:9">
      <c r="A418" s="55"/>
      <c r="B418" s="56"/>
      <c r="C418" s="56"/>
      <c r="D418" s="56"/>
      <c r="E418" s="57"/>
      <c r="F418" s="58"/>
      <c r="G418" s="56"/>
      <c r="H418" s="63" t="str">
        <f>IF(tbCartoes[[#This Row],[📂 Categoria]]="","",SUBSTITUTE(tbCartoes[[#This Row],[📂 Categoria]]," ","_"))</f>
        <v/>
      </c>
      <c r="I418" s="272"/>
    </row>
    <row r="419" spans="1:9">
      <c r="A419" s="59"/>
      <c r="B419" s="60"/>
      <c r="C419" s="60"/>
      <c r="D419" s="60"/>
      <c r="E419" s="61"/>
      <c r="F419" s="62"/>
      <c r="G419" s="60"/>
      <c r="H419" s="64" t="str">
        <f>IF(tbCartoes[[#This Row],[📂 Categoria]]="","",SUBSTITUTE(tbCartoes[[#This Row],[📂 Categoria]]," ","_"))</f>
        <v/>
      </c>
      <c r="I419" s="273"/>
    </row>
    <row r="420" spans="1:9">
      <c r="A420" s="55"/>
      <c r="B420" s="56"/>
      <c r="C420" s="56"/>
      <c r="D420" s="56"/>
      <c r="E420" s="57"/>
      <c r="F420" s="58"/>
      <c r="G420" s="56"/>
      <c r="H420" s="63" t="str">
        <f>IF(tbCartoes[[#This Row],[📂 Categoria]]="","",SUBSTITUTE(tbCartoes[[#This Row],[📂 Categoria]]," ","_"))</f>
        <v/>
      </c>
      <c r="I420" s="272"/>
    </row>
    <row r="421" spans="1:9">
      <c r="A421" s="59"/>
      <c r="B421" s="60"/>
      <c r="C421" s="60"/>
      <c r="D421" s="60"/>
      <c r="E421" s="61"/>
      <c r="F421" s="62"/>
      <c r="G421" s="60"/>
      <c r="H421" s="64" t="str">
        <f>IF(tbCartoes[[#This Row],[📂 Categoria]]="","",SUBSTITUTE(tbCartoes[[#This Row],[📂 Categoria]]," ","_"))</f>
        <v/>
      </c>
      <c r="I421" s="273"/>
    </row>
    <row r="422" spans="1:9">
      <c r="A422" s="55"/>
      <c r="B422" s="56"/>
      <c r="C422" s="56"/>
      <c r="D422" s="56"/>
      <c r="E422" s="57"/>
      <c r="F422" s="58"/>
      <c r="G422" s="56"/>
      <c r="H422" s="63" t="str">
        <f>IF(tbCartoes[[#This Row],[📂 Categoria]]="","",SUBSTITUTE(tbCartoes[[#This Row],[📂 Categoria]]," ","_"))</f>
        <v/>
      </c>
      <c r="I422" s="272"/>
    </row>
    <row r="423" spans="1:9">
      <c r="A423" s="59"/>
      <c r="B423" s="60"/>
      <c r="C423" s="60"/>
      <c r="D423" s="60"/>
      <c r="E423" s="61"/>
      <c r="F423" s="62"/>
      <c r="G423" s="60"/>
      <c r="H423" s="64" t="str">
        <f>IF(tbCartoes[[#This Row],[📂 Categoria]]="","",SUBSTITUTE(tbCartoes[[#This Row],[📂 Categoria]]," ","_"))</f>
        <v/>
      </c>
      <c r="I423" s="273"/>
    </row>
    <row r="424" spans="1:9">
      <c r="A424" s="55"/>
      <c r="B424" s="56"/>
      <c r="C424" s="56"/>
      <c r="D424" s="56"/>
      <c r="E424" s="57"/>
      <c r="F424" s="58"/>
      <c r="G424" s="56"/>
      <c r="H424" s="63" t="str">
        <f>IF(tbCartoes[[#This Row],[📂 Categoria]]="","",SUBSTITUTE(tbCartoes[[#This Row],[📂 Categoria]]," ","_"))</f>
        <v/>
      </c>
      <c r="I424" s="272"/>
    </row>
    <row r="425" spans="1:9">
      <c r="A425" s="59"/>
      <c r="B425" s="60"/>
      <c r="C425" s="60"/>
      <c r="D425" s="60"/>
      <c r="E425" s="61"/>
      <c r="F425" s="62"/>
      <c r="G425" s="60"/>
      <c r="H425" s="64" t="str">
        <f>IF(tbCartoes[[#This Row],[📂 Categoria]]="","",SUBSTITUTE(tbCartoes[[#This Row],[📂 Categoria]]," ","_"))</f>
        <v/>
      </c>
      <c r="I425" s="273"/>
    </row>
    <row r="426" spans="1:9">
      <c r="A426" s="55"/>
      <c r="B426" s="56"/>
      <c r="C426" s="56"/>
      <c r="D426" s="56"/>
      <c r="E426" s="57"/>
      <c r="F426" s="58"/>
      <c r="G426" s="56"/>
      <c r="H426" s="63" t="str">
        <f>IF(tbCartoes[[#This Row],[📂 Categoria]]="","",SUBSTITUTE(tbCartoes[[#This Row],[📂 Categoria]]," ","_"))</f>
        <v/>
      </c>
      <c r="I426" s="272"/>
    </row>
    <row r="427" spans="1:9">
      <c r="A427" s="59"/>
      <c r="B427" s="60"/>
      <c r="C427" s="60"/>
      <c r="D427" s="60"/>
      <c r="E427" s="61"/>
      <c r="F427" s="62"/>
      <c r="G427" s="60"/>
      <c r="H427" s="64" t="str">
        <f>IF(tbCartoes[[#This Row],[📂 Categoria]]="","",SUBSTITUTE(tbCartoes[[#This Row],[📂 Categoria]]," ","_"))</f>
        <v/>
      </c>
      <c r="I427" s="273"/>
    </row>
    <row r="428" spans="1:9">
      <c r="A428" s="55"/>
      <c r="B428" s="56"/>
      <c r="C428" s="56"/>
      <c r="D428" s="56"/>
      <c r="E428" s="57"/>
      <c r="F428" s="58"/>
      <c r="G428" s="56"/>
      <c r="H428" s="63" t="str">
        <f>IF(tbCartoes[[#This Row],[📂 Categoria]]="","",SUBSTITUTE(tbCartoes[[#This Row],[📂 Categoria]]," ","_"))</f>
        <v/>
      </c>
      <c r="I428" s="272"/>
    </row>
    <row r="429" spans="1:9">
      <c r="A429" s="59"/>
      <c r="B429" s="60"/>
      <c r="C429" s="60"/>
      <c r="D429" s="60"/>
      <c r="E429" s="61"/>
      <c r="F429" s="62"/>
      <c r="G429" s="60"/>
      <c r="H429" s="64" t="str">
        <f>IF(tbCartoes[[#This Row],[📂 Categoria]]="","",SUBSTITUTE(tbCartoes[[#This Row],[📂 Categoria]]," ","_"))</f>
        <v/>
      </c>
      <c r="I429" s="273"/>
    </row>
    <row r="430" spans="1:9">
      <c r="A430" s="55"/>
      <c r="B430" s="56"/>
      <c r="C430" s="56"/>
      <c r="D430" s="56"/>
      <c r="E430" s="57"/>
      <c r="F430" s="58"/>
      <c r="G430" s="56"/>
      <c r="H430" s="63" t="str">
        <f>IF(tbCartoes[[#This Row],[📂 Categoria]]="","",SUBSTITUTE(tbCartoes[[#This Row],[📂 Categoria]]," ","_"))</f>
        <v/>
      </c>
      <c r="I430" s="272"/>
    </row>
    <row r="431" spans="1:9">
      <c r="A431" s="59"/>
      <c r="B431" s="60"/>
      <c r="C431" s="60"/>
      <c r="D431" s="60"/>
      <c r="E431" s="61"/>
      <c r="F431" s="62"/>
      <c r="G431" s="60"/>
      <c r="H431" s="64" t="str">
        <f>IF(tbCartoes[[#This Row],[📂 Categoria]]="","",SUBSTITUTE(tbCartoes[[#This Row],[📂 Categoria]]," ","_"))</f>
        <v/>
      </c>
      <c r="I431" s="273"/>
    </row>
    <row r="432" spans="1:9">
      <c r="A432" s="55"/>
      <c r="B432" s="56"/>
      <c r="C432" s="56"/>
      <c r="D432" s="56"/>
      <c r="E432" s="57"/>
      <c r="F432" s="58"/>
      <c r="G432" s="56"/>
      <c r="H432" s="63" t="str">
        <f>IF(tbCartoes[[#This Row],[📂 Categoria]]="","",SUBSTITUTE(tbCartoes[[#This Row],[📂 Categoria]]," ","_"))</f>
        <v/>
      </c>
      <c r="I432" s="272"/>
    </row>
    <row r="433" spans="1:9">
      <c r="A433" s="59"/>
      <c r="B433" s="60"/>
      <c r="C433" s="60"/>
      <c r="D433" s="60"/>
      <c r="E433" s="61"/>
      <c r="F433" s="62"/>
      <c r="G433" s="60"/>
      <c r="H433" s="64" t="str">
        <f>IF(tbCartoes[[#This Row],[📂 Categoria]]="","",SUBSTITUTE(tbCartoes[[#This Row],[📂 Categoria]]," ","_"))</f>
        <v/>
      </c>
      <c r="I433" s="273"/>
    </row>
    <row r="434" spans="1:9">
      <c r="A434" s="55"/>
      <c r="B434" s="56"/>
      <c r="C434" s="56"/>
      <c r="D434" s="56"/>
      <c r="E434" s="57"/>
      <c r="F434" s="58"/>
      <c r="G434" s="56"/>
      <c r="H434" s="63" t="str">
        <f>IF(tbCartoes[[#This Row],[📂 Categoria]]="","",SUBSTITUTE(tbCartoes[[#This Row],[📂 Categoria]]," ","_"))</f>
        <v/>
      </c>
      <c r="I434" s="272"/>
    </row>
    <row r="435" spans="1:9">
      <c r="A435" s="59"/>
      <c r="B435" s="60"/>
      <c r="C435" s="60"/>
      <c r="D435" s="60"/>
      <c r="E435" s="61"/>
      <c r="F435" s="62"/>
      <c r="G435" s="60"/>
      <c r="H435" s="64" t="str">
        <f>IF(tbCartoes[[#This Row],[📂 Categoria]]="","",SUBSTITUTE(tbCartoes[[#This Row],[📂 Categoria]]," ","_"))</f>
        <v/>
      </c>
      <c r="I435" s="273"/>
    </row>
    <row r="436" spans="1:9">
      <c r="A436" s="55"/>
      <c r="B436" s="56"/>
      <c r="C436" s="56"/>
      <c r="D436" s="56"/>
      <c r="E436" s="57"/>
      <c r="F436" s="58"/>
      <c r="G436" s="56"/>
      <c r="H436" s="63" t="str">
        <f>IF(tbCartoes[[#This Row],[📂 Categoria]]="","",SUBSTITUTE(tbCartoes[[#This Row],[📂 Categoria]]," ","_"))</f>
        <v/>
      </c>
      <c r="I436" s="272"/>
    </row>
    <row r="437" spans="1:9">
      <c r="A437" s="59"/>
      <c r="B437" s="60"/>
      <c r="C437" s="60"/>
      <c r="D437" s="60"/>
      <c r="E437" s="61"/>
      <c r="F437" s="62"/>
      <c r="G437" s="60"/>
      <c r="H437" s="64" t="str">
        <f>IF(tbCartoes[[#This Row],[📂 Categoria]]="","",SUBSTITUTE(tbCartoes[[#This Row],[📂 Categoria]]," ","_"))</f>
        <v/>
      </c>
      <c r="I437" s="273"/>
    </row>
    <row r="438" spans="1:9">
      <c r="A438" s="55"/>
      <c r="B438" s="56"/>
      <c r="C438" s="56"/>
      <c r="D438" s="56"/>
      <c r="E438" s="57"/>
      <c r="F438" s="58"/>
      <c r="G438" s="56"/>
      <c r="H438" s="63" t="str">
        <f>IF(tbCartoes[[#This Row],[📂 Categoria]]="","",SUBSTITUTE(tbCartoes[[#This Row],[📂 Categoria]]," ","_"))</f>
        <v/>
      </c>
      <c r="I438" s="272"/>
    </row>
    <row r="439" spans="1:9">
      <c r="A439" s="59"/>
      <c r="B439" s="60"/>
      <c r="C439" s="60"/>
      <c r="D439" s="60"/>
      <c r="E439" s="61"/>
      <c r="F439" s="62"/>
      <c r="G439" s="60"/>
      <c r="H439" s="64" t="str">
        <f>IF(tbCartoes[[#This Row],[📂 Categoria]]="","",SUBSTITUTE(tbCartoes[[#This Row],[📂 Categoria]]," ","_"))</f>
        <v/>
      </c>
      <c r="I439" s="273"/>
    </row>
    <row r="440" spans="1:9">
      <c r="A440" s="55"/>
      <c r="B440" s="56"/>
      <c r="C440" s="56"/>
      <c r="D440" s="56"/>
      <c r="E440" s="57"/>
      <c r="F440" s="58"/>
      <c r="G440" s="56"/>
      <c r="H440" s="63" t="str">
        <f>IF(tbCartoes[[#This Row],[📂 Categoria]]="","",SUBSTITUTE(tbCartoes[[#This Row],[📂 Categoria]]," ","_"))</f>
        <v/>
      </c>
      <c r="I440" s="272"/>
    </row>
    <row r="441" spans="1:9">
      <c r="A441" s="59"/>
      <c r="B441" s="60"/>
      <c r="C441" s="60"/>
      <c r="D441" s="60"/>
      <c r="E441" s="61"/>
      <c r="F441" s="62"/>
      <c r="G441" s="60"/>
      <c r="H441" s="64" t="str">
        <f>IF(tbCartoes[[#This Row],[📂 Categoria]]="","",SUBSTITUTE(tbCartoes[[#This Row],[📂 Categoria]]," ","_"))</f>
        <v/>
      </c>
      <c r="I441" s="273"/>
    </row>
    <row r="442" spans="1:9">
      <c r="A442" s="55"/>
      <c r="B442" s="56"/>
      <c r="C442" s="56"/>
      <c r="D442" s="56"/>
      <c r="E442" s="57"/>
      <c r="F442" s="58"/>
      <c r="G442" s="56"/>
      <c r="H442" s="63" t="str">
        <f>IF(tbCartoes[[#This Row],[📂 Categoria]]="","",SUBSTITUTE(tbCartoes[[#This Row],[📂 Categoria]]," ","_"))</f>
        <v/>
      </c>
      <c r="I442" s="272"/>
    </row>
    <row r="443" spans="1:9">
      <c r="A443" s="59"/>
      <c r="B443" s="60"/>
      <c r="C443" s="60"/>
      <c r="D443" s="60"/>
      <c r="E443" s="61"/>
      <c r="F443" s="62"/>
      <c r="G443" s="60"/>
      <c r="H443" s="64" t="str">
        <f>IF(tbCartoes[[#This Row],[📂 Categoria]]="","",SUBSTITUTE(tbCartoes[[#This Row],[📂 Categoria]]," ","_"))</f>
        <v/>
      </c>
      <c r="I443" s="273"/>
    </row>
    <row r="444" spans="1:9">
      <c r="A444" s="55"/>
      <c r="B444" s="56"/>
      <c r="C444" s="56"/>
      <c r="D444" s="56"/>
      <c r="E444" s="57"/>
      <c r="F444" s="58"/>
      <c r="G444" s="56"/>
      <c r="H444" s="63" t="str">
        <f>IF(tbCartoes[[#This Row],[📂 Categoria]]="","",SUBSTITUTE(tbCartoes[[#This Row],[📂 Categoria]]," ","_"))</f>
        <v/>
      </c>
      <c r="I444" s="272"/>
    </row>
    <row r="445" spans="1:9">
      <c r="A445" s="59"/>
      <c r="B445" s="60"/>
      <c r="C445" s="60"/>
      <c r="D445" s="60"/>
      <c r="E445" s="61"/>
      <c r="F445" s="62"/>
      <c r="G445" s="60"/>
      <c r="H445" s="64" t="str">
        <f>IF(tbCartoes[[#This Row],[📂 Categoria]]="","",SUBSTITUTE(tbCartoes[[#This Row],[📂 Categoria]]," ","_"))</f>
        <v/>
      </c>
      <c r="I445" s="273"/>
    </row>
    <row r="446" spans="1:9">
      <c r="A446" s="55"/>
      <c r="B446" s="56"/>
      <c r="C446" s="56"/>
      <c r="D446" s="56"/>
      <c r="E446" s="57"/>
      <c r="F446" s="58"/>
      <c r="G446" s="56"/>
      <c r="H446" s="63" t="str">
        <f>IF(tbCartoes[[#This Row],[📂 Categoria]]="","",SUBSTITUTE(tbCartoes[[#This Row],[📂 Categoria]]," ","_"))</f>
        <v/>
      </c>
      <c r="I446" s="272"/>
    </row>
    <row r="447" spans="1:9">
      <c r="A447" s="59"/>
      <c r="B447" s="60"/>
      <c r="C447" s="60"/>
      <c r="D447" s="60"/>
      <c r="E447" s="61"/>
      <c r="F447" s="62"/>
      <c r="G447" s="60"/>
      <c r="H447" s="64" t="str">
        <f>IF(tbCartoes[[#This Row],[📂 Categoria]]="","",SUBSTITUTE(tbCartoes[[#This Row],[📂 Categoria]]," ","_"))</f>
        <v/>
      </c>
      <c r="I447" s="273"/>
    </row>
    <row r="448" spans="1:9">
      <c r="A448" s="55"/>
      <c r="B448" s="56"/>
      <c r="C448" s="56"/>
      <c r="D448" s="56"/>
      <c r="E448" s="57"/>
      <c r="F448" s="58"/>
      <c r="G448" s="56"/>
      <c r="H448" s="63" t="str">
        <f>IF(tbCartoes[[#This Row],[📂 Categoria]]="","",SUBSTITUTE(tbCartoes[[#This Row],[📂 Categoria]]," ","_"))</f>
        <v/>
      </c>
      <c r="I448" s="272"/>
    </row>
    <row r="449" spans="1:9">
      <c r="A449" s="59"/>
      <c r="B449" s="60"/>
      <c r="C449" s="60"/>
      <c r="D449" s="60"/>
      <c r="E449" s="61"/>
      <c r="F449" s="62"/>
      <c r="G449" s="60"/>
      <c r="H449" s="64" t="str">
        <f>IF(tbCartoes[[#This Row],[📂 Categoria]]="","",SUBSTITUTE(tbCartoes[[#This Row],[📂 Categoria]]," ","_"))</f>
        <v/>
      </c>
      <c r="I449" s="273"/>
    </row>
    <row r="450" spans="1:9">
      <c r="A450" s="55"/>
      <c r="B450" s="56"/>
      <c r="C450" s="56"/>
      <c r="D450" s="56"/>
      <c r="E450" s="57"/>
      <c r="F450" s="58"/>
      <c r="G450" s="56"/>
      <c r="H450" s="63" t="str">
        <f>IF(tbCartoes[[#This Row],[📂 Categoria]]="","",SUBSTITUTE(tbCartoes[[#This Row],[📂 Categoria]]," ","_"))</f>
        <v/>
      </c>
      <c r="I450" s="272"/>
    </row>
    <row r="451" spans="1:9">
      <c r="A451" s="59"/>
      <c r="B451" s="60"/>
      <c r="C451" s="60"/>
      <c r="D451" s="60"/>
      <c r="E451" s="61"/>
      <c r="F451" s="62"/>
      <c r="G451" s="60"/>
      <c r="H451" s="64" t="str">
        <f>IF(tbCartoes[[#This Row],[📂 Categoria]]="","",SUBSTITUTE(tbCartoes[[#This Row],[📂 Categoria]]," ","_"))</f>
        <v/>
      </c>
      <c r="I451" s="273"/>
    </row>
    <row r="452" spans="1:9">
      <c r="A452" s="55"/>
      <c r="B452" s="56"/>
      <c r="C452" s="56"/>
      <c r="D452" s="56"/>
      <c r="E452" s="57"/>
      <c r="F452" s="58"/>
      <c r="G452" s="56"/>
      <c r="H452" s="63" t="str">
        <f>IF(tbCartoes[[#This Row],[📂 Categoria]]="","",SUBSTITUTE(tbCartoes[[#This Row],[📂 Categoria]]," ","_"))</f>
        <v/>
      </c>
      <c r="I452" s="272"/>
    </row>
    <row r="453" spans="1:9">
      <c r="A453" s="59"/>
      <c r="B453" s="60"/>
      <c r="C453" s="60"/>
      <c r="D453" s="60"/>
      <c r="E453" s="61"/>
      <c r="F453" s="62"/>
      <c r="G453" s="60"/>
      <c r="H453" s="64" t="str">
        <f>IF(tbCartoes[[#This Row],[📂 Categoria]]="","",SUBSTITUTE(tbCartoes[[#This Row],[📂 Categoria]]," ","_"))</f>
        <v/>
      </c>
      <c r="I453" s="273"/>
    </row>
    <row r="454" spans="1:9">
      <c r="A454" s="55"/>
      <c r="B454" s="56"/>
      <c r="C454" s="56"/>
      <c r="D454" s="56"/>
      <c r="E454" s="57"/>
      <c r="F454" s="58"/>
      <c r="G454" s="56"/>
      <c r="H454" s="63" t="str">
        <f>IF(tbCartoes[[#This Row],[📂 Categoria]]="","",SUBSTITUTE(tbCartoes[[#This Row],[📂 Categoria]]," ","_"))</f>
        <v/>
      </c>
      <c r="I454" s="272"/>
    </row>
    <row r="455" spans="1:9">
      <c r="A455" s="59"/>
      <c r="B455" s="60"/>
      <c r="C455" s="60"/>
      <c r="D455" s="60"/>
      <c r="E455" s="61"/>
      <c r="F455" s="62"/>
      <c r="G455" s="60"/>
      <c r="H455" s="64" t="str">
        <f>IF(tbCartoes[[#This Row],[📂 Categoria]]="","",SUBSTITUTE(tbCartoes[[#This Row],[📂 Categoria]]," ","_"))</f>
        <v/>
      </c>
      <c r="I455" s="273"/>
    </row>
    <row r="456" spans="1:9">
      <c r="A456" s="55"/>
      <c r="B456" s="56"/>
      <c r="C456" s="56"/>
      <c r="D456" s="56"/>
      <c r="E456" s="57"/>
      <c r="F456" s="58"/>
      <c r="G456" s="56"/>
      <c r="H456" s="63" t="str">
        <f>IF(tbCartoes[[#This Row],[📂 Categoria]]="","",SUBSTITUTE(tbCartoes[[#This Row],[📂 Categoria]]," ","_"))</f>
        <v/>
      </c>
      <c r="I456" s="272"/>
    </row>
    <row r="457" spans="1:9">
      <c r="A457" s="59"/>
      <c r="B457" s="60"/>
      <c r="C457" s="60"/>
      <c r="D457" s="60"/>
      <c r="E457" s="61"/>
      <c r="F457" s="62"/>
      <c r="G457" s="60"/>
      <c r="H457" s="64" t="str">
        <f>IF(tbCartoes[[#This Row],[📂 Categoria]]="","",SUBSTITUTE(tbCartoes[[#This Row],[📂 Categoria]]," ","_"))</f>
        <v/>
      </c>
      <c r="I457" s="273"/>
    </row>
    <row r="458" spans="1:9">
      <c r="A458" s="55"/>
      <c r="B458" s="56"/>
      <c r="C458" s="56"/>
      <c r="D458" s="56"/>
      <c r="E458" s="57"/>
      <c r="F458" s="58"/>
      <c r="G458" s="56"/>
      <c r="H458" s="63" t="str">
        <f>IF(tbCartoes[[#This Row],[📂 Categoria]]="","",SUBSTITUTE(tbCartoes[[#This Row],[📂 Categoria]]," ","_"))</f>
        <v/>
      </c>
      <c r="I458" s="272"/>
    </row>
    <row r="459" spans="1:9">
      <c r="A459" s="59"/>
      <c r="B459" s="60"/>
      <c r="C459" s="60"/>
      <c r="D459" s="60"/>
      <c r="E459" s="61"/>
      <c r="F459" s="62"/>
      <c r="G459" s="60"/>
      <c r="H459" s="64" t="str">
        <f>IF(tbCartoes[[#This Row],[📂 Categoria]]="","",SUBSTITUTE(tbCartoes[[#This Row],[📂 Categoria]]," ","_"))</f>
        <v/>
      </c>
      <c r="I459" s="273"/>
    </row>
    <row r="460" spans="1:9">
      <c r="A460" s="55"/>
      <c r="B460" s="56"/>
      <c r="C460" s="56"/>
      <c r="D460" s="56"/>
      <c r="E460" s="57"/>
      <c r="F460" s="58"/>
      <c r="G460" s="56"/>
      <c r="H460" s="63" t="str">
        <f>IF(tbCartoes[[#This Row],[📂 Categoria]]="","",SUBSTITUTE(tbCartoes[[#This Row],[📂 Categoria]]," ","_"))</f>
        <v/>
      </c>
      <c r="I460" s="272"/>
    </row>
    <row r="461" spans="1:9">
      <c r="A461" s="59"/>
      <c r="B461" s="60"/>
      <c r="C461" s="60"/>
      <c r="D461" s="60"/>
      <c r="E461" s="61"/>
      <c r="F461" s="62"/>
      <c r="G461" s="60"/>
      <c r="H461" s="64" t="str">
        <f>IF(tbCartoes[[#This Row],[📂 Categoria]]="","",SUBSTITUTE(tbCartoes[[#This Row],[📂 Categoria]]," ","_"))</f>
        <v/>
      </c>
      <c r="I461" s="273"/>
    </row>
    <row r="462" spans="1:9">
      <c r="A462" s="55"/>
      <c r="B462" s="56"/>
      <c r="C462" s="56"/>
      <c r="D462" s="56"/>
      <c r="E462" s="57"/>
      <c r="F462" s="58"/>
      <c r="G462" s="56"/>
      <c r="H462" s="63" t="str">
        <f>IF(tbCartoes[[#This Row],[📂 Categoria]]="","",SUBSTITUTE(tbCartoes[[#This Row],[📂 Categoria]]," ","_"))</f>
        <v/>
      </c>
      <c r="I462" s="272"/>
    </row>
    <row r="463" spans="1:9">
      <c r="A463" s="59"/>
      <c r="B463" s="60"/>
      <c r="C463" s="60"/>
      <c r="D463" s="60"/>
      <c r="E463" s="61"/>
      <c r="F463" s="62"/>
      <c r="G463" s="60"/>
      <c r="H463" s="64" t="str">
        <f>IF(tbCartoes[[#This Row],[📂 Categoria]]="","",SUBSTITUTE(tbCartoes[[#This Row],[📂 Categoria]]," ","_"))</f>
        <v/>
      </c>
      <c r="I463" s="273"/>
    </row>
    <row r="464" spans="1:9">
      <c r="A464" s="55"/>
      <c r="B464" s="56"/>
      <c r="C464" s="56"/>
      <c r="D464" s="56"/>
      <c r="E464" s="57"/>
      <c r="F464" s="58"/>
      <c r="G464" s="56"/>
      <c r="H464" s="63" t="str">
        <f>IF(tbCartoes[[#This Row],[📂 Categoria]]="","",SUBSTITUTE(tbCartoes[[#This Row],[📂 Categoria]]," ","_"))</f>
        <v/>
      </c>
      <c r="I464" s="272"/>
    </row>
    <row r="465" spans="1:9">
      <c r="A465" s="59"/>
      <c r="B465" s="60"/>
      <c r="C465" s="60"/>
      <c r="D465" s="60"/>
      <c r="E465" s="61"/>
      <c r="F465" s="62"/>
      <c r="G465" s="60"/>
      <c r="H465" s="64" t="str">
        <f>IF(tbCartoes[[#This Row],[📂 Categoria]]="","",SUBSTITUTE(tbCartoes[[#This Row],[📂 Categoria]]," ","_"))</f>
        <v/>
      </c>
      <c r="I465" s="273"/>
    </row>
    <row r="466" spans="1:9">
      <c r="A466" s="55"/>
      <c r="B466" s="56"/>
      <c r="C466" s="56"/>
      <c r="D466" s="56"/>
      <c r="E466" s="57"/>
      <c r="F466" s="58"/>
      <c r="G466" s="56"/>
      <c r="H466" s="63" t="str">
        <f>IF(tbCartoes[[#This Row],[📂 Categoria]]="","",SUBSTITUTE(tbCartoes[[#This Row],[📂 Categoria]]," ","_"))</f>
        <v/>
      </c>
      <c r="I466" s="272"/>
    </row>
    <row r="467" spans="1:9">
      <c r="A467" s="59"/>
      <c r="B467" s="60"/>
      <c r="C467" s="60"/>
      <c r="D467" s="60"/>
      <c r="E467" s="61"/>
      <c r="F467" s="62"/>
      <c r="G467" s="60"/>
      <c r="H467" s="64" t="str">
        <f>IF(tbCartoes[[#This Row],[📂 Categoria]]="","",SUBSTITUTE(tbCartoes[[#This Row],[📂 Categoria]]," ","_"))</f>
        <v/>
      </c>
      <c r="I467" s="273"/>
    </row>
    <row r="468" spans="1:9">
      <c r="A468" s="55"/>
      <c r="B468" s="56"/>
      <c r="C468" s="56"/>
      <c r="D468" s="56"/>
      <c r="E468" s="57"/>
      <c r="F468" s="58"/>
      <c r="G468" s="56"/>
      <c r="H468" s="63" t="str">
        <f>IF(tbCartoes[[#This Row],[📂 Categoria]]="","",SUBSTITUTE(tbCartoes[[#This Row],[📂 Categoria]]," ","_"))</f>
        <v/>
      </c>
      <c r="I468" s="272"/>
    </row>
    <row r="469" spans="1:9">
      <c r="A469" s="59"/>
      <c r="B469" s="60"/>
      <c r="C469" s="60"/>
      <c r="D469" s="60"/>
      <c r="E469" s="61"/>
      <c r="F469" s="62"/>
      <c r="G469" s="60"/>
      <c r="H469" s="64" t="str">
        <f>IF(tbCartoes[[#This Row],[📂 Categoria]]="","",SUBSTITUTE(tbCartoes[[#This Row],[📂 Categoria]]," ","_"))</f>
        <v/>
      </c>
      <c r="I469" s="273"/>
    </row>
    <row r="470" spans="1:9">
      <c r="A470" s="55"/>
      <c r="B470" s="56"/>
      <c r="C470" s="56"/>
      <c r="D470" s="56"/>
      <c r="E470" s="57"/>
      <c r="F470" s="58"/>
      <c r="G470" s="56"/>
      <c r="H470" s="63" t="str">
        <f>IF(tbCartoes[[#This Row],[📂 Categoria]]="","",SUBSTITUTE(tbCartoes[[#This Row],[📂 Categoria]]," ","_"))</f>
        <v/>
      </c>
      <c r="I470" s="272"/>
    </row>
    <row r="471" spans="1:9">
      <c r="A471" s="59"/>
      <c r="B471" s="60"/>
      <c r="C471" s="60"/>
      <c r="D471" s="60"/>
      <c r="E471" s="61"/>
      <c r="F471" s="62"/>
      <c r="G471" s="60"/>
      <c r="H471" s="64" t="str">
        <f>IF(tbCartoes[[#This Row],[📂 Categoria]]="","",SUBSTITUTE(tbCartoes[[#This Row],[📂 Categoria]]," ","_"))</f>
        <v/>
      </c>
      <c r="I471" s="273"/>
    </row>
    <row r="472" spans="1:9">
      <c r="A472" s="55"/>
      <c r="B472" s="56"/>
      <c r="C472" s="56"/>
      <c r="D472" s="56"/>
      <c r="E472" s="57"/>
      <c r="F472" s="58"/>
      <c r="G472" s="56"/>
      <c r="H472" s="63" t="str">
        <f>IF(tbCartoes[[#This Row],[📂 Categoria]]="","",SUBSTITUTE(tbCartoes[[#This Row],[📂 Categoria]]," ","_"))</f>
        <v/>
      </c>
      <c r="I472" s="272"/>
    </row>
    <row r="473" spans="1:9">
      <c r="A473" s="59"/>
      <c r="B473" s="60"/>
      <c r="C473" s="60"/>
      <c r="D473" s="60"/>
      <c r="E473" s="61"/>
      <c r="F473" s="62"/>
      <c r="G473" s="60"/>
      <c r="H473" s="64" t="str">
        <f>IF(tbCartoes[[#This Row],[📂 Categoria]]="","",SUBSTITUTE(tbCartoes[[#This Row],[📂 Categoria]]," ","_"))</f>
        <v/>
      </c>
      <c r="I473" s="273"/>
    </row>
    <row r="474" spans="1:9">
      <c r="A474" s="55"/>
      <c r="B474" s="56"/>
      <c r="C474" s="56"/>
      <c r="D474" s="56"/>
      <c r="E474" s="57"/>
      <c r="F474" s="58"/>
      <c r="G474" s="56"/>
      <c r="H474" s="63" t="str">
        <f>IF(tbCartoes[[#This Row],[📂 Categoria]]="","",SUBSTITUTE(tbCartoes[[#This Row],[📂 Categoria]]," ","_"))</f>
        <v/>
      </c>
      <c r="I474" s="272"/>
    </row>
    <row r="475" spans="1:9">
      <c r="A475" s="59"/>
      <c r="B475" s="60"/>
      <c r="C475" s="60"/>
      <c r="D475" s="60"/>
      <c r="E475" s="61"/>
      <c r="F475" s="62"/>
      <c r="G475" s="60"/>
      <c r="H475" s="64" t="str">
        <f>IF(tbCartoes[[#This Row],[📂 Categoria]]="","",SUBSTITUTE(tbCartoes[[#This Row],[📂 Categoria]]," ","_"))</f>
        <v/>
      </c>
      <c r="I475" s="273"/>
    </row>
    <row r="476" spans="1:9">
      <c r="A476" s="55"/>
      <c r="B476" s="56"/>
      <c r="C476" s="56"/>
      <c r="D476" s="56"/>
      <c r="E476" s="57"/>
      <c r="F476" s="58"/>
      <c r="G476" s="56"/>
      <c r="H476" s="63" t="str">
        <f>IF(tbCartoes[[#This Row],[📂 Categoria]]="","",SUBSTITUTE(tbCartoes[[#This Row],[📂 Categoria]]," ","_"))</f>
        <v/>
      </c>
      <c r="I476" s="272"/>
    </row>
    <row r="477" spans="1:9">
      <c r="A477" s="59"/>
      <c r="B477" s="60"/>
      <c r="C477" s="60"/>
      <c r="D477" s="60"/>
      <c r="E477" s="61"/>
      <c r="F477" s="62"/>
      <c r="G477" s="60"/>
      <c r="H477" s="64" t="str">
        <f>IF(tbCartoes[[#This Row],[📂 Categoria]]="","",SUBSTITUTE(tbCartoes[[#This Row],[📂 Categoria]]," ","_"))</f>
        <v/>
      </c>
      <c r="I477" s="273"/>
    </row>
    <row r="478" spans="1:9">
      <c r="A478" s="55"/>
      <c r="B478" s="56"/>
      <c r="C478" s="56"/>
      <c r="D478" s="56"/>
      <c r="E478" s="57"/>
      <c r="F478" s="58"/>
      <c r="G478" s="56"/>
      <c r="H478" s="63" t="str">
        <f>IF(tbCartoes[[#This Row],[📂 Categoria]]="","",SUBSTITUTE(tbCartoes[[#This Row],[📂 Categoria]]," ","_"))</f>
        <v/>
      </c>
      <c r="I478" s="272"/>
    </row>
    <row r="479" spans="1:9">
      <c r="A479" s="59"/>
      <c r="B479" s="60"/>
      <c r="C479" s="60"/>
      <c r="D479" s="60"/>
      <c r="E479" s="61"/>
      <c r="F479" s="62"/>
      <c r="G479" s="60"/>
      <c r="H479" s="64" t="str">
        <f>IF(tbCartoes[[#This Row],[📂 Categoria]]="","",SUBSTITUTE(tbCartoes[[#This Row],[📂 Categoria]]," ","_"))</f>
        <v/>
      </c>
      <c r="I479" s="273"/>
    </row>
    <row r="480" spans="1:9">
      <c r="A480" s="55"/>
      <c r="B480" s="56"/>
      <c r="C480" s="56"/>
      <c r="D480" s="56"/>
      <c r="E480" s="57"/>
      <c r="F480" s="58"/>
      <c r="G480" s="56"/>
      <c r="H480" s="63" t="str">
        <f>IF(tbCartoes[[#This Row],[📂 Categoria]]="","",SUBSTITUTE(tbCartoes[[#This Row],[📂 Categoria]]," ","_"))</f>
        <v/>
      </c>
      <c r="I480" s="272"/>
    </row>
    <row r="481" spans="1:9">
      <c r="A481" s="59"/>
      <c r="B481" s="60"/>
      <c r="C481" s="60"/>
      <c r="D481" s="60"/>
      <c r="E481" s="61"/>
      <c r="F481" s="62"/>
      <c r="G481" s="60"/>
      <c r="H481" s="64" t="str">
        <f>IF(tbCartoes[[#This Row],[📂 Categoria]]="","",SUBSTITUTE(tbCartoes[[#This Row],[📂 Categoria]]," ","_"))</f>
        <v/>
      </c>
      <c r="I481" s="273"/>
    </row>
    <row r="482" spans="1:9">
      <c r="A482" s="55"/>
      <c r="B482" s="56"/>
      <c r="C482" s="56"/>
      <c r="D482" s="56"/>
      <c r="E482" s="57"/>
      <c r="F482" s="58"/>
      <c r="G482" s="56"/>
      <c r="H482" s="63" t="str">
        <f>IF(tbCartoes[[#This Row],[📂 Categoria]]="","",SUBSTITUTE(tbCartoes[[#This Row],[📂 Categoria]]," ","_"))</f>
        <v/>
      </c>
      <c r="I482" s="272"/>
    </row>
    <row r="483" spans="1:9">
      <c r="A483" s="59"/>
      <c r="B483" s="60"/>
      <c r="C483" s="60"/>
      <c r="D483" s="60"/>
      <c r="E483" s="61"/>
      <c r="F483" s="62"/>
      <c r="G483" s="60"/>
      <c r="H483" s="64" t="str">
        <f>IF(tbCartoes[[#This Row],[📂 Categoria]]="","",SUBSTITUTE(tbCartoes[[#This Row],[📂 Categoria]]," ","_"))</f>
        <v/>
      </c>
      <c r="I483" s="273"/>
    </row>
    <row r="484" spans="1:9">
      <c r="A484" s="55"/>
      <c r="B484" s="56"/>
      <c r="C484" s="56"/>
      <c r="D484" s="56"/>
      <c r="E484" s="57"/>
      <c r="F484" s="58"/>
      <c r="G484" s="56"/>
      <c r="H484" s="63" t="str">
        <f>IF(tbCartoes[[#This Row],[📂 Categoria]]="","",SUBSTITUTE(tbCartoes[[#This Row],[📂 Categoria]]," ","_"))</f>
        <v/>
      </c>
      <c r="I484" s="272"/>
    </row>
    <row r="485" spans="1:9">
      <c r="A485" s="59"/>
      <c r="B485" s="60"/>
      <c r="C485" s="60"/>
      <c r="D485" s="60"/>
      <c r="E485" s="61"/>
      <c r="F485" s="62"/>
      <c r="G485" s="60"/>
      <c r="H485" s="64" t="str">
        <f>IF(tbCartoes[[#This Row],[📂 Categoria]]="","",SUBSTITUTE(tbCartoes[[#This Row],[📂 Categoria]]," ","_"))</f>
        <v/>
      </c>
      <c r="I485" s="273"/>
    </row>
    <row r="486" spans="1:9">
      <c r="A486" s="55"/>
      <c r="B486" s="56"/>
      <c r="C486" s="56"/>
      <c r="D486" s="56"/>
      <c r="E486" s="57"/>
      <c r="F486" s="58"/>
      <c r="G486" s="56"/>
      <c r="H486" s="63" t="str">
        <f>IF(tbCartoes[[#This Row],[📂 Categoria]]="","",SUBSTITUTE(tbCartoes[[#This Row],[📂 Categoria]]," ","_"))</f>
        <v/>
      </c>
      <c r="I486" s="272"/>
    </row>
    <row r="487" spans="1:9">
      <c r="A487" s="59"/>
      <c r="B487" s="60"/>
      <c r="C487" s="60"/>
      <c r="D487" s="60"/>
      <c r="E487" s="61"/>
      <c r="F487" s="62"/>
      <c r="G487" s="60"/>
      <c r="H487" s="64" t="str">
        <f>IF(tbCartoes[[#This Row],[📂 Categoria]]="","",SUBSTITUTE(tbCartoes[[#This Row],[📂 Categoria]]," ","_"))</f>
        <v/>
      </c>
      <c r="I487" s="273"/>
    </row>
    <row r="488" spans="1:9">
      <c r="A488" s="55"/>
      <c r="B488" s="56"/>
      <c r="C488" s="56"/>
      <c r="D488" s="56"/>
      <c r="E488" s="57"/>
      <c r="F488" s="58"/>
      <c r="G488" s="56"/>
      <c r="H488" s="63" t="str">
        <f>IF(tbCartoes[[#This Row],[📂 Categoria]]="","",SUBSTITUTE(tbCartoes[[#This Row],[📂 Categoria]]," ","_"))</f>
        <v/>
      </c>
      <c r="I488" s="272"/>
    </row>
    <row r="489" spans="1:9">
      <c r="A489" s="59"/>
      <c r="B489" s="60"/>
      <c r="C489" s="60"/>
      <c r="D489" s="60"/>
      <c r="E489" s="61"/>
      <c r="F489" s="62"/>
      <c r="G489" s="60"/>
      <c r="H489" s="64" t="str">
        <f>IF(tbCartoes[[#This Row],[📂 Categoria]]="","",SUBSTITUTE(tbCartoes[[#This Row],[📂 Categoria]]," ","_"))</f>
        <v/>
      </c>
      <c r="I489" s="273"/>
    </row>
    <row r="490" spans="1:9">
      <c r="A490" s="55"/>
      <c r="B490" s="56"/>
      <c r="C490" s="56"/>
      <c r="D490" s="56"/>
      <c r="E490" s="57"/>
      <c r="F490" s="58"/>
      <c r="G490" s="56"/>
      <c r="H490" s="63" t="str">
        <f>IF(tbCartoes[[#This Row],[📂 Categoria]]="","",SUBSTITUTE(tbCartoes[[#This Row],[📂 Categoria]]," ","_"))</f>
        <v/>
      </c>
      <c r="I490" s="272"/>
    </row>
    <row r="491" spans="1:9">
      <c r="A491" s="59"/>
      <c r="B491" s="60"/>
      <c r="C491" s="60"/>
      <c r="D491" s="60"/>
      <c r="E491" s="61"/>
      <c r="F491" s="62"/>
      <c r="G491" s="60"/>
      <c r="H491" s="64" t="str">
        <f>IF(tbCartoes[[#This Row],[📂 Categoria]]="","",SUBSTITUTE(tbCartoes[[#This Row],[📂 Categoria]]," ","_"))</f>
        <v/>
      </c>
      <c r="I491" s="273"/>
    </row>
    <row r="492" spans="1:9">
      <c r="A492" s="55"/>
      <c r="B492" s="56"/>
      <c r="C492" s="56"/>
      <c r="D492" s="56"/>
      <c r="E492" s="57"/>
      <c r="F492" s="58"/>
      <c r="G492" s="56"/>
      <c r="H492" s="63" t="str">
        <f>IF(tbCartoes[[#This Row],[📂 Categoria]]="","",SUBSTITUTE(tbCartoes[[#This Row],[📂 Categoria]]," ","_"))</f>
        <v/>
      </c>
      <c r="I492" s="272"/>
    </row>
    <row r="493" spans="1:9">
      <c r="A493" s="59"/>
      <c r="B493" s="60"/>
      <c r="C493" s="60"/>
      <c r="D493" s="60"/>
      <c r="E493" s="61"/>
      <c r="F493" s="62"/>
      <c r="G493" s="60"/>
      <c r="H493" s="64" t="str">
        <f>IF(tbCartoes[[#This Row],[📂 Categoria]]="","",SUBSTITUTE(tbCartoes[[#This Row],[📂 Categoria]]," ","_"))</f>
        <v/>
      </c>
      <c r="I493" s="273"/>
    </row>
    <row r="494" spans="1:9">
      <c r="A494" s="55"/>
      <c r="B494" s="56"/>
      <c r="C494" s="56"/>
      <c r="D494" s="56"/>
      <c r="E494" s="57"/>
      <c r="F494" s="58"/>
      <c r="G494" s="56"/>
      <c r="H494" s="63" t="str">
        <f>IF(tbCartoes[[#This Row],[📂 Categoria]]="","",SUBSTITUTE(tbCartoes[[#This Row],[📂 Categoria]]," ","_"))</f>
        <v/>
      </c>
      <c r="I494" s="272"/>
    </row>
    <row r="495" spans="1:9">
      <c r="A495" s="59"/>
      <c r="B495" s="60"/>
      <c r="C495" s="60"/>
      <c r="D495" s="60"/>
      <c r="E495" s="61"/>
      <c r="F495" s="62"/>
      <c r="G495" s="60"/>
      <c r="H495" s="64" t="str">
        <f>IF(tbCartoes[[#This Row],[📂 Categoria]]="","",SUBSTITUTE(tbCartoes[[#This Row],[📂 Categoria]]," ","_"))</f>
        <v/>
      </c>
      <c r="I495" s="273"/>
    </row>
    <row r="496" spans="1:9">
      <c r="A496" s="55"/>
      <c r="B496" s="56"/>
      <c r="C496" s="56"/>
      <c r="D496" s="56"/>
      <c r="E496" s="57"/>
      <c r="F496" s="58"/>
      <c r="G496" s="56"/>
      <c r="H496" s="63" t="str">
        <f>IF(tbCartoes[[#This Row],[📂 Categoria]]="","",SUBSTITUTE(tbCartoes[[#This Row],[📂 Categoria]]," ","_"))</f>
        <v/>
      </c>
      <c r="I496" s="272"/>
    </row>
    <row r="497" spans="1:9">
      <c r="A497" s="59"/>
      <c r="B497" s="60"/>
      <c r="C497" s="60"/>
      <c r="D497" s="60"/>
      <c r="E497" s="61"/>
      <c r="F497" s="62"/>
      <c r="G497" s="60"/>
      <c r="H497" s="64" t="str">
        <f>IF(tbCartoes[[#This Row],[📂 Categoria]]="","",SUBSTITUTE(tbCartoes[[#This Row],[📂 Categoria]]," ","_"))</f>
        <v/>
      </c>
      <c r="I497" s="273"/>
    </row>
    <row r="498" spans="1:9">
      <c r="A498" s="55"/>
      <c r="B498" s="56"/>
      <c r="C498" s="56"/>
      <c r="D498" s="56"/>
      <c r="E498" s="57"/>
      <c r="F498" s="58"/>
      <c r="G498" s="56"/>
      <c r="H498" s="63" t="str">
        <f>IF(tbCartoes[[#This Row],[📂 Categoria]]="","",SUBSTITUTE(tbCartoes[[#This Row],[📂 Categoria]]," ","_"))</f>
        <v/>
      </c>
      <c r="I498" s="272"/>
    </row>
    <row r="499" spans="1:9">
      <c r="A499" s="59"/>
      <c r="B499" s="60"/>
      <c r="C499" s="60"/>
      <c r="D499" s="60"/>
      <c r="E499" s="61"/>
      <c r="F499" s="62"/>
      <c r="G499" s="60"/>
      <c r="H499" s="64" t="str">
        <f>IF(tbCartoes[[#This Row],[📂 Categoria]]="","",SUBSTITUTE(tbCartoes[[#This Row],[📂 Categoria]]," ","_"))</f>
        <v/>
      </c>
      <c r="I499" s="273"/>
    </row>
    <row r="500" spans="1:9">
      <c r="A500" s="55"/>
      <c r="B500" s="56"/>
      <c r="C500" s="56"/>
      <c r="D500" s="56"/>
      <c r="E500" s="57"/>
      <c r="F500" s="58"/>
      <c r="G500" s="56"/>
      <c r="H500" s="63" t="str">
        <f>IF(tbCartoes[[#This Row],[📂 Categoria]]="","",SUBSTITUTE(tbCartoes[[#This Row],[📂 Categoria]]," ","_"))</f>
        <v/>
      </c>
      <c r="I500" s="272"/>
    </row>
    <row r="501" spans="1:9">
      <c r="A501" s="59"/>
      <c r="B501" s="60"/>
      <c r="C501" s="60"/>
      <c r="D501" s="60"/>
      <c r="E501" s="61"/>
      <c r="F501" s="62"/>
      <c r="G501" s="60"/>
      <c r="H501" s="64" t="str">
        <f>IF(tbCartoes[[#This Row],[📂 Categoria]]="","",SUBSTITUTE(tbCartoes[[#This Row],[📂 Categoria]]," ","_"))</f>
        <v/>
      </c>
      <c r="I501" s="273"/>
    </row>
    <row r="502" spans="1:9">
      <c r="A502" s="55"/>
      <c r="B502" s="56"/>
      <c r="C502" s="56"/>
      <c r="D502" s="56"/>
      <c r="E502" s="57"/>
      <c r="F502" s="58"/>
      <c r="G502" s="56"/>
      <c r="H502" s="63" t="str">
        <f>IF(tbCartoes[[#This Row],[📂 Categoria]]="","",SUBSTITUTE(tbCartoes[[#This Row],[📂 Categoria]]," ","_"))</f>
        <v/>
      </c>
      <c r="I502" s="272"/>
    </row>
    <row r="503" spans="1:9">
      <c r="A503" s="59"/>
      <c r="B503" s="60"/>
      <c r="C503" s="60"/>
      <c r="D503" s="60"/>
      <c r="E503" s="61"/>
      <c r="F503" s="62"/>
      <c r="G503" s="60"/>
      <c r="H503" s="64" t="str">
        <f>IF(tbCartoes[[#This Row],[📂 Categoria]]="","",SUBSTITUTE(tbCartoes[[#This Row],[📂 Categoria]]," ","_"))</f>
        <v/>
      </c>
      <c r="I503" s="273"/>
    </row>
    <row r="504" spans="1:9">
      <c r="A504" s="55"/>
      <c r="B504" s="56"/>
      <c r="C504" s="56"/>
      <c r="D504" s="56"/>
      <c r="E504" s="57"/>
      <c r="F504" s="58"/>
      <c r="G504" s="56"/>
      <c r="H504" s="63" t="str">
        <f>IF(tbCartoes[[#This Row],[📂 Categoria]]="","",SUBSTITUTE(tbCartoes[[#This Row],[📂 Categoria]]," ","_"))</f>
        <v/>
      </c>
      <c r="I504" s="272"/>
    </row>
    <row r="505" spans="1:9">
      <c r="A505" s="55"/>
      <c r="B505" s="56"/>
      <c r="C505" s="56"/>
      <c r="D505" s="56"/>
      <c r="E505" s="57"/>
      <c r="F505" s="58"/>
      <c r="G505" s="56"/>
      <c r="H505" s="63" t="str">
        <f>IF(tbCartoes[[#This Row],[📂 Categoria]]="","",SUBSTITUTE(tbCartoes[[#This Row],[📂 Categoria]]," ","_"))</f>
        <v/>
      </c>
      <c r="I505" s="272"/>
    </row>
    <row r="506" spans="1:9">
      <c r="A506" s="55"/>
      <c r="B506" s="56"/>
      <c r="C506" s="56"/>
      <c r="D506" s="56"/>
      <c r="E506" s="57"/>
      <c r="F506" s="58"/>
      <c r="G506" s="56"/>
      <c r="H506" s="63" t="str">
        <f>IF(tbCartoes[[#This Row],[📂 Categoria]]="","",SUBSTITUTE(tbCartoes[[#This Row],[📂 Categoria]]," ","_"))</f>
        <v/>
      </c>
      <c r="I506" s="272"/>
    </row>
    <row r="507" spans="1:9">
      <c r="A507" s="59"/>
      <c r="B507" s="60"/>
      <c r="C507" s="60"/>
      <c r="D507" s="60"/>
      <c r="E507" s="61"/>
      <c r="F507" s="62"/>
      <c r="G507" s="60"/>
      <c r="H507" s="64" t="str">
        <f>IF(tbCartoes[[#This Row],[📂 Categoria]]="","",SUBSTITUTE(tbCartoes[[#This Row],[📂 Categoria]]," ","_"))</f>
        <v/>
      </c>
      <c r="I507" s="273"/>
    </row>
    <row r="508" spans="1:9">
      <c r="A508" s="55"/>
      <c r="B508" s="56"/>
      <c r="C508" s="56"/>
      <c r="D508" s="56"/>
      <c r="E508" s="57"/>
      <c r="F508" s="58"/>
      <c r="G508" s="56"/>
      <c r="H508" s="63" t="str">
        <f>IF(tbCartoes[[#This Row],[📂 Categoria]]="","",SUBSTITUTE(tbCartoes[[#This Row],[📂 Categoria]]," ","_"))</f>
        <v/>
      </c>
      <c r="I508" s="272"/>
    </row>
    <row r="509" spans="1:9">
      <c r="A509" s="59"/>
      <c r="B509" s="60"/>
      <c r="C509" s="60"/>
      <c r="D509" s="60"/>
      <c r="E509" s="61"/>
      <c r="F509" s="62"/>
      <c r="G509" s="60"/>
      <c r="H509" s="64" t="str">
        <f>IF(tbCartoes[[#This Row],[📂 Categoria]]="","",SUBSTITUTE(tbCartoes[[#This Row],[📂 Categoria]]," ","_"))</f>
        <v/>
      </c>
      <c r="I509" s="273"/>
    </row>
    <row r="510" spans="1:9">
      <c r="A510" s="59"/>
      <c r="B510" s="60"/>
      <c r="C510" s="60"/>
      <c r="D510" s="60"/>
      <c r="E510" s="61"/>
      <c r="F510" s="62"/>
      <c r="G510" s="60"/>
      <c r="H510" s="64" t="str">
        <f>IF(tbCartoes[[#This Row],[📂 Categoria]]="","",SUBSTITUTE(tbCartoes[[#This Row],[📂 Categoria]]," ","_"))</f>
        <v/>
      </c>
      <c r="I510" s="273"/>
    </row>
    <row r="511" spans="1:9">
      <c r="A511" s="59"/>
      <c r="B511" s="60"/>
      <c r="C511" s="60"/>
      <c r="D511" s="60"/>
      <c r="E511" s="61"/>
      <c r="F511" s="62"/>
      <c r="G511" s="60"/>
      <c r="H511" s="64" t="str">
        <f>IF(tbCartoes[[#This Row],[📂 Categoria]]="","",SUBSTITUTE(tbCartoes[[#This Row],[📂 Categoria]]," ","_"))</f>
        <v/>
      </c>
      <c r="I511" s="273"/>
    </row>
    <row r="512" spans="1:9">
      <c r="A512" s="55"/>
      <c r="B512" s="56"/>
      <c r="C512" s="56"/>
      <c r="D512" s="56"/>
      <c r="E512" s="57"/>
      <c r="F512" s="58"/>
      <c r="G512" s="56"/>
      <c r="H512" s="63" t="str">
        <f>IF(tbCartoes[[#This Row],[📂 Categoria]]="","",SUBSTITUTE(tbCartoes[[#This Row],[📂 Categoria]]," ","_"))</f>
        <v/>
      </c>
      <c r="I512" s="272"/>
    </row>
    <row r="513" spans="1:9">
      <c r="A513" s="59"/>
      <c r="B513" s="60"/>
      <c r="C513" s="60"/>
      <c r="D513" s="60"/>
      <c r="E513" s="61"/>
      <c r="F513" s="62"/>
      <c r="G513" s="60"/>
      <c r="H513" s="64" t="str">
        <f>IF(tbCartoes[[#This Row],[📂 Categoria]]="","",SUBSTITUTE(tbCartoes[[#This Row],[📂 Categoria]]," ","_"))</f>
        <v/>
      </c>
      <c r="I513" s="273"/>
    </row>
    <row r="514" spans="1:9">
      <c r="A514" s="55"/>
      <c r="B514" s="56"/>
      <c r="C514" s="56"/>
      <c r="D514" s="56"/>
      <c r="E514" s="57"/>
      <c r="F514" s="58"/>
      <c r="G514" s="56"/>
      <c r="H514" s="63" t="str">
        <f>IF(tbCartoes[[#This Row],[📂 Categoria]]="","",SUBSTITUTE(tbCartoes[[#This Row],[📂 Categoria]]," ","_"))</f>
        <v/>
      </c>
      <c r="I514" s="272"/>
    </row>
    <row r="515" spans="1:9">
      <c r="A515" s="59"/>
      <c r="B515" s="60"/>
      <c r="C515" s="60"/>
      <c r="D515" s="60"/>
      <c r="E515" s="61"/>
      <c r="F515" s="62"/>
      <c r="G515" s="60"/>
      <c r="H515" s="64" t="str">
        <f>IF(tbCartoes[[#This Row],[📂 Categoria]]="","",SUBSTITUTE(tbCartoes[[#This Row],[📂 Categoria]]," ","_"))</f>
        <v/>
      </c>
      <c r="I515" s="273"/>
    </row>
    <row r="516" spans="1:9">
      <c r="A516" s="55"/>
      <c r="B516" s="56"/>
      <c r="C516" s="56"/>
      <c r="D516" s="56"/>
      <c r="E516" s="57"/>
      <c r="F516" s="58"/>
      <c r="G516" s="56"/>
      <c r="H516" s="63" t="str">
        <f>IF(tbCartoes[[#This Row],[📂 Categoria]]="","",SUBSTITUTE(tbCartoes[[#This Row],[📂 Categoria]]," ","_"))</f>
        <v/>
      </c>
      <c r="I516" s="272"/>
    </row>
    <row r="517" spans="1:9">
      <c r="A517" s="59"/>
      <c r="B517" s="60"/>
      <c r="C517" s="60"/>
      <c r="D517" s="60"/>
      <c r="E517" s="61"/>
      <c r="F517" s="62"/>
      <c r="G517" s="60"/>
      <c r="H517" s="64" t="str">
        <f>IF(tbCartoes[[#This Row],[📂 Categoria]]="","",SUBSTITUTE(tbCartoes[[#This Row],[📂 Categoria]]," ","_"))</f>
        <v/>
      </c>
      <c r="I517" s="273"/>
    </row>
    <row r="518" spans="1:9">
      <c r="A518" s="55"/>
      <c r="B518" s="56"/>
      <c r="C518" s="56"/>
      <c r="D518" s="56"/>
      <c r="E518" s="57"/>
      <c r="F518" s="58"/>
      <c r="G518" s="56"/>
      <c r="H518" s="63" t="str">
        <f>IF(tbCartoes[[#This Row],[📂 Categoria]]="","",SUBSTITUTE(tbCartoes[[#This Row],[📂 Categoria]]," ","_"))</f>
        <v/>
      </c>
      <c r="I518" s="272"/>
    </row>
    <row r="519" spans="1:9">
      <c r="A519" s="59"/>
      <c r="B519" s="60"/>
      <c r="C519" s="60"/>
      <c r="D519" s="60"/>
      <c r="E519" s="61"/>
      <c r="F519" s="62"/>
      <c r="G519" s="60"/>
      <c r="H519" s="64" t="str">
        <f>IF(tbCartoes[[#This Row],[📂 Categoria]]="","",SUBSTITUTE(tbCartoes[[#This Row],[📂 Categoria]]," ","_"))</f>
        <v/>
      </c>
      <c r="I519" s="273"/>
    </row>
    <row r="520" spans="1:9">
      <c r="A520" s="55"/>
      <c r="B520" s="56"/>
      <c r="C520" s="56"/>
      <c r="D520" s="56"/>
      <c r="E520" s="57"/>
      <c r="F520" s="58"/>
      <c r="G520" s="56"/>
      <c r="H520" s="63" t="str">
        <f>IF(tbCartoes[[#This Row],[📂 Categoria]]="","",SUBSTITUTE(tbCartoes[[#This Row],[📂 Categoria]]," ","_"))</f>
        <v/>
      </c>
      <c r="I520" s="272"/>
    </row>
    <row r="521" spans="1:9">
      <c r="A521" s="59"/>
      <c r="B521" s="60"/>
      <c r="C521" s="60"/>
      <c r="D521" s="60"/>
      <c r="E521" s="61"/>
      <c r="F521" s="62"/>
      <c r="G521" s="60"/>
      <c r="H521" s="64" t="str">
        <f>IF(tbCartoes[[#This Row],[📂 Categoria]]="","",SUBSTITUTE(tbCartoes[[#This Row],[📂 Categoria]]," ","_"))</f>
        <v/>
      </c>
      <c r="I521" s="273"/>
    </row>
    <row r="522" spans="1:9">
      <c r="A522" s="55"/>
      <c r="B522" s="56"/>
      <c r="C522" s="56"/>
      <c r="D522" s="56"/>
      <c r="E522" s="57"/>
      <c r="F522" s="58"/>
      <c r="G522" s="56"/>
      <c r="H522" s="63" t="str">
        <f>IF(tbCartoes[[#This Row],[📂 Categoria]]="","",SUBSTITUTE(tbCartoes[[#This Row],[📂 Categoria]]," ","_"))</f>
        <v/>
      </c>
      <c r="I522" s="272"/>
    </row>
    <row r="523" spans="1:9">
      <c r="A523" s="59"/>
      <c r="B523" s="60"/>
      <c r="C523" s="60"/>
      <c r="D523" s="60"/>
      <c r="E523" s="61"/>
      <c r="F523" s="62"/>
      <c r="G523" s="60"/>
      <c r="H523" s="64" t="str">
        <f>IF(tbCartoes[[#This Row],[📂 Categoria]]="","",SUBSTITUTE(tbCartoes[[#This Row],[📂 Categoria]]," ","_"))</f>
        <v/>
      </c>
      <c r="I523" s="273"/>
    </row>
    <row r="524" spans="1:9">
      <c r="A524" s="55"/>
      <c r="B524" s="56"/>
      <c r="C524" s="56"/>
      <c r="D524" s="56"/>
      <c r="E524" s="57"/>
      <c r="F524" s="58"/>
      <c r="G524" s="56"/>
      <c r="H524" s="63" t="str">
        <f>IF(tbCartoes[[#This Row],[📂 Categoria]]="","",SUBSTITUTE(tbCartoes[[#This Row],[📂 Categoria]]," ","_"))</f>
        <v/>
      </c>
      <c r="I524" s="272"/>
    </row>
    <row r="525" spans="1:9">
      <c r="A525" s="59"/>
      <c r="B525" s="60"/>
      <c r="C525" s="60"/>
      <c r="D525" s="60"/>
      <c r="E525" s="61"/>
      <c r="F525" s="62"/>
      <c r="G525" s="60"/>
      <c r="H525" s="64" t="str">
        <f>IF(tbCartoes[[#This Row],[📂 Categoria]]="","",SUBSTITUTE(tbCartoes[[#This Row],[📂 Categoria]]," ","_"))</f>
        <v/>
      </c>
      <c r="I525" s="273"/>
    </row>
    <row r="526" spans="1:9">
      <c r="A526" s="55"/>
      <c r="B526" s="56"/>
      <c r="C526" s="56"/>
      <c r="D526" s="56"/>
      <c r="E526" s="57"/>
      <c r="F526" s="58"/>
      <c r="G526" s="56"/>
      <c r="H526" s="63" t="str">
        <f>IF(tbCartoes[[#This Row],[📂 Categoria]]="","",SUBSTITUTE(tbCartoes[[#This Row],[📂 Categoria]]," ","_"))</f>
        <v/>
      </c>
      <c r="I526" s="272"/>
    </row>
    <row r="527" spans="1:9">
      <c r="A527" s="59"/>
      <c r="B527" s="60"/>
      <c r="C527" s="60"/>
      <c r="D527" s="60"/>
      <c r="E527" s="61"/>
      <c r="F527" s="62"/>
      <c r="G527" s="60"/>
      <c r="H527" s="64" t="str">
        <f>IF(tbCartoes[[#This Row],[📂 Categoria]]="","",SUBSTITUTE(tbCartoes[[#This Row],[📂 Categoria]]," ","_"))</f>
        <v/>
      </c>
      <c r="I527" s="273"/>
    </row>
    <row r="528" spans="1:9">
      <c r="A528" s="55"/>
      <c r="B528" s="56"/>
      <c r="C528" s="56"/>
      <c r="D528" s="56"/>
      <c r="E528" s="57"/>
      <c r="F528" s="58"/>
      <c r="G528" s="56"/>
      <c r="H528" s="63" t="str">
        <f>IF(tbCartoes[[#This Row],[📂 Categoria]]="","",SUBSTITUTE(tbCartoes[[#This Row],[📂 Categoria]]," ","_"))</f>
        <v/>
      </c>
      <c r="I528" s="272"/>
    </row>
    <row r="529" spans="1:9">
      <c r="A529" s="59"/>
      <c r="B529" s="60"/>
      <c r="C529" s="60"/>
      <c r="D529" s="60"/>
      <c r="E529" s="61"/>
      <c r="F529" s="62"/>
      <c r="G529" s="60"/>
      <c r="H529" s="64" t="str">
        <f>IF(tbCartoes[[#This Row],[📂 Categoria]]="","",SUBSTITUTE(tbCartoes[[#This Row],[📂 Categoria]]," ","_"))</f>
        <v/>
      </c>
      <c r="I529" s="273"/>
    </row>
    <row r="530" spans="1:9">
      <c r="A530" s="55"/>
      <c r="B530" s="56"/>
      <c r="C530" s="56"/>
      <c r="D530" s="56"/>
      <c r="E530" s="57"/>
      <c r="F530" s="58"/>
      <c r="G530" s="56"/>
      <c r="H530" s="63" t="str">
        <f>IF(tbCartoes[[#This Row],[📂 Categoria]]="","",SUBSTITUTE(tbCartoes[[#This Row],[📂 Categoria]]," ","_"))</f>
        <v/>
      </c>
      <c r="I530" s="272"/>
    </row>
    <row r="531" spans="1:9">
      <c r="A531" s="59"/>
      <c r="B531" s="60"/>
      <c r="C531" s="60"/>
      <c r="D531" s="60"/>
      <c r="E531" s="61"/>
      <c r="F531" s="62"/>
      <c r="G531" s="60"/>
      <c r="H531" s="64" t="str">
        <f>IF(tbCartoes[[#This Row],[📂 Categoria]]="","",SUBSTITUTE(tbCartoes[[#This Row],[📂 Categoria]]," ","_"))</f>
        <v/>
      </c>
      <c r="I531" s="273"/>
    </row>
    <row r="532" spans="1:9">
      <c r="A532" s="55"/>
      <c r="B532" s="56"/>
      <c r="C532" s="56"/>
      <c r="D532" s="56"/>
      <c r="E532" s="57"/>
      <c r="F532" s="58"/>
      <c r="G532" s="56"/>
      <c r="H532" s="63" t="str">
        <f>IF(tbCartoes[[#This Row],[📂 Categoria]]="","",SUBSTITUTE(tbCartoes[[#This Row],[📂 Categoria]]," ","_"))</f>
        <v/>
      </c>
      <c r="I532" s="272"/>
    </row>
    <row r="533" spans="1:9">
      <c r="A533" s="59"/>
      <c r="B533" s="60"/>
      <c r="C533" s="60"/>
      <c r="D533" s="60"/>
      <c r="E533" s="61"/>
      <c r="F533" s="62"/>
      <c r="G533" s="60"/>
      <c r="H533" s="64" t="str">
        <f>IF(tbCartoes[[#This Row],[📂 Categoria]]="","",SUBSTITUTE(tbCartoes[[#This Row],[📂 Categoria]]," ","_"))</f>
        <v/>
      </c>
      <c r="I533" s="273"/>
    </row>
    <row r="534" spans="1:9">
      <c r="A534" s="55"/>
      <c r="B534" s="56"/>
      <c r="C534" s="56"/>
      <c r="D534" s="56"/>
      <c r="E534" s="57"/>
      <c r="F534" s="58"/>
      <c r="G534" s="56"/>
      <c r="H534" s="63" t="str">
        <f>IF(tbCartoes[[#This Row],[📂 Categoria]]="","",SUBSTITUTE(tbCartoes[[#This Row],[📂 Categoria]]," ","_"))</f>
        <v/>
      </c>
      <c r="I534" s="272"/>
    </row>
    <row r="535" spans="1:9">
      <c r="A535" s="59"/>
      <c r="B535" s="60"/>
      <c r="C535" s="60"/>
      <c r="D535" s="60"/>
      <c r="E535" s="61"/>
      <c r="F535" s="62"/>
      <c r="G535" s="60"/>
      <c r="H535" s="64" t="str">
        <f>IF(tbCartoes[[#This Row],[📂 Categoria]]="","",SUBSTITUTE(tbCartoes[[#This Row],[📂 Categoria]]," ","_"))</f>
        <v/>
      </c>
      <c r="I535" s="273"/>
    </row>
    <row r="536" spans="1:9">
      <c r="A536" s="55"/>
      <c r="B536" s="56"/>
      <c r="C536" s="56"/>
      <c r="D536" s="56"/>
      <c r="E536" s="57"/>
      <c r="F536" s="58"/>
      <c r="G536" s="56"/>
      <c r="H536" s="63" t="str">
        <f>IF(tbCartoes[[#This Row],[📂 Categoria]]="","",SUBSTITUTE(tbCartoes[[#This Row],[📂 Categoria]]," ","_"))</f>
        <v/>
      </c>
      <c r="I536" s="272"/>
    </row>
    <row r="537" spans="1:9">
      <c r="A537" s="59"/>
      <c r="B537" s="60"/>
      <c r="C537" s="60"/>
      <c r="D537" s="60"/>
      <c r="E537" s="61"/>
      <c r="F537" s="62"/>
      <c r="G537" s="60"/>
      <c r="H537" s="64" t="str">
        <f>IF(tbCartoes[[#This Row],[📂 Categoria]]="","",SUBSTITUTE(tbCartoes[[#This Row],[📂 Categoria]]," ","_"))</f>
        <v/>
      </c>
      <c r="I537" s="273"/>
    </row>
    <row r="538" spans="1:9">
      <c r="A538" s="55"/>
      <c r="B538" s="56"/>
      <c r="C538" s="56"/>
      <c r="D538" s="56"/>
      <c r="E538" s="57"/>
      <c r="F538" s="58"/>
      <c r="G538" s="56"/>
      <c r="H538" s="63" t="str">
        <f>IF(tbCartoes[[#This Row],[📂 Categoria]]="","",SUBSTITUTE(tbCartoes[[#This Row],[📂 Categoria]]," ","_"))</f>
        <v/>
      </c>
      <c r="I538" s="272"/>
    </row>
    <row r="539" spans="1:9">
      <c r="A539" s="59"/>
      <c r="B539" s="60"/>
      <c r="C539" s="60"/>
      <c r="D539" s="60"/>
      <c r="E539" s="61"/>
      <c r="F539" s="62"/>
      <c r="G539" s="60"/>
      <c r="H539" s="64" t="str">
        <f>IF(tbCartoes[[#This Row],[📂 Categoria]]="","",SUBSTITUTE(tbCartoes[[#This Row],[📂 Categoria]]," ","_"))</f>
        <v/>
      </c>
      <c r="I539" s="273"/>
    </row>
    <row r="540" spans="1:9">
      <c r="A540" s="55"/>
      <c r="B540" s="56"/>
      <c r="C540" s="56"/>
      <c r="D540" s="56"/>
      <c r="E540" s="57"/>
      <c r="F540" s="58"/>
      <c r="G540" s="56"/>
      <c r="H540" s="63" t="str">
        <f>IF(tbCartoes[[#This Row],[📂 Categoria]]="","",SUBSTITUTE(tbCartoes[[#This Row],[📂 Categoria]]," ","_"))</f>
        <v/>
      </c>
      <c r="I540" s="272"/>
    </row>
    <row r="541" spans="1:9">
      <c r="A541" s="59"/>
      <c r="B541" s="60"/>
      <c r="C541" s="60"/>
      <c r="D541" s="60"/>
      <c r="E541" s="61"/>
      <c r="F541" s="62"/>
      <c r="G541" s="60"/>
      <c r="H541" s="64" t="str">
        <f>IF(tbCartoes[[#This Row],[📂 Categoria]]="","",SUBSTITUTE(tbCartoes[[#This Row],[📂 Categoria]]," ","_"))</f>
        <v/>
      </c>
      <c r="I541" s="273"/>
    </row>
    <row r="542" spans="1:9">
      <c r="A542" s="55"/>
      <c r="B542" s="56"/>
      <c r="C542" s="56"/>
      <c r="D542" s="56"/>
      <c r="E542" s="57"/>
      <c r="F542" s="58"/>
      <c r="G542" s="56"/>
      <c r="H542" s="63" t="str">
        <f>IF(tbCartoes[[#This Row],[📂 Categoria]]="","",SUBSTITUTE(tbCartoes[[#This Row],[📂 Categoria]]," ","_"))</f>
        <v/>
      </c>
      <c r="I542" s="272"/>
    </row>
    <row r="543" spans="1:9">
      <c r="A543" s="59"/>
      <c r="B543" s="60"/>
      <c r="C543" s="60"/>
      <c r="D543" s="60"/>
      <c r="E543" s="61"/>
      <c r="F543" s="62"/>
      <c r="G543" s="60"/>
      <c r="H543" s="64" t="str">
        <f>IF(tbCartoes[[#This Row],[📂 Categoria]]="","",SUBSTITUTE(tbCartoes[[#This Row],[📂 Categoria]]," ","_"))</f>
        <v/>
      </c>
      <c r="I543" s="273"/>
    </row>
    <row r="544" spans="1:9">
      <c r="A544" s="55"/>
      <c r="B544" s="56"/>
      <c r="C544" s="56"/>
      <c r="D544" s="56"/>
      <c r="E544" s="57"/>
      <c r="F544" s="58"/>
      <c r="G544" s="56"/>
      <c r="H544" s="63" t="str">
        <f>IF(tbCartoes[[#This Row],[📂 Categoria]]="","",SUBSTITUTE(tbCartoes[[#This Row],[📂 Categoria]]," ","_"))</f>
        <v/>
      </c>
      <c r="I544" s="272"/>
    </row>
    <row r="545" spans="1:9">
      <c r="A545" s="59"/>
      <c r="B545" s="60"/>
      <c r="C545" s="60"/>
      <c r="D545" s="60"/>
      <c r="E545" s="61"/>
      <c r="F545" s="62"/>
      <c r="G545" s="60"/>
      <c r="H545" s="64" t="str">
        <f>IF(tbCartoes[[#This Row],[📂 Categoria]]="","",SUBSTITUTE(tbCartoes[[#This Row],[📂 Categoria]]," ","_"))</f>
        <v/>
      </c>
      <c r="I545" s="273"/>
    </row>
    <row r="546" spans="1:9">
      <c r="A546" s="55"/>
      <c r="B546" s="56"/>
      <c r="C546" s="56"/>
      <c r="D546" s="56"/>
      <c r="E546" s="57"/>
      <c r="F546" s="58"/>
      <c r="G546" s="56"/>
      <c r="H546" s="63" t="str">
        <f>IF(tbCartoes[[#This Row],[📂 Categoria]]="","",SUBSTITUTE(tbCartoes[[#This Row],[📂 Categoria]]," ","_"))</f>
        <v/>
      </c>
      <c r="I546" s="272"/>
    </row>
    <row r="547" spans="1:9">
      <c r="A547" s="59"/>
      <c r="B547" s="60"/>
      <c r="C547" s="60"/>
      <c r="D547" s="60"/>
      <c r="E547" s="61"/>
      <c r="F547" s="62"/>
      <c r="G547" s="60"/>
      <c r="H547" s="64" t="str">
        <f>IF(tbCartoes[[#This Row],[📂 Categoria]]="","",SUBSTITUTE(tbCartoes[[#This Row],[📂 Categoria]]," ","_"))</f>
        <v/>
      </c>
      <c r="I547" s="273"/>
    </row>
    <row r="548" spans="1:9">
      <c r="A548" s="55"/>
      <c r="B548" s="56"/>
      <c r="C548" s="56"/>
      <c r="D548" s="56"/>
      <c r="E548" s="57"/>
      <c r="F548" s="58"/>
      <c r="G548" s="56"/>
      <c r="H548" s="63" t="str">
        <f>IF(tbCartoes[[#This Row],[📂 Categoria]]="","",SUBSTITUTE(tbCartoes[[#This Row],[📂 Categoria]]," ","_"))</f>
        <v/>
      </c>
      <c r="I548" s="272"/>
    </row>
    <row r="549" spans="1:9">
      <c r="A549" s="59"/>
      <c r="B549" s="60"/>
      <c r="C549" s="60"/>
      <c r="D549" s="60"/>
      <c r="E549" s="61"/>
      <c r="F549" s="62"/>
      <c r="G549" s="60"/>
      <c r="H549" s="64" t="str">
        <f>IF(tbCartoes[[#This Row],[📂 Categoria]]="","",SUBSTITUTE(tbCartoes[[#This Row],[📂 Categoria]]," ","_"))</f>
        <v/>
      </c>
      <c r="I549" s="273"/>
    </row>
    <row r="550" spans="1:9">
      <c r="A550" s="55"/>
      <c r="B550" s="56"/>
      <c r="C550" s="56"/>
      <c r="D550" s="56"/>
      <c r="E550" s="57"/>
      <c r="F550" s="58"/>
      <c r="G550" s="56"/>
      <c r="H550" s="63" t="str">
        <f>IF(tbCartoes[[#This Row],[📂 Categoria]]="","",SUBSTITUTE(tbCartoes[[#This Row],[📂 Categoria]]," ","_"))</f>
        <v/>
      </c>
      <c r="I550" s="272"/>
    </row>
    <row r="551" spans="1:9">
      <c r="A551" s="59"/>
      <c r="B551" s="60"/>
      <c r="C551" s="60"/>
      <c r="D551" s="60"/>
      <c r="E551" s="61"/>
      <c r="F551" s="62"/>
      <c r="G551" s="60"/>
      <c r="H551" s="64" t="str">
        <f>IF(tbCartoes[[#This Row],[📂 Categoria]]="","",SUBSTITUTE(tbCartoes[[#This Row],[📂 Categoria]]," ","_"))</f>
        <v/>
      </c>
      <c r="I551" s="273"/>
    </row>
    <row r="552" spans="1:9">
      <c r="A552" s="55"/>
      <c r="B552" s="56"/>
      <c r="C552" s="56"/>
      <c r="D552" s="56"/>
      <c r="E552" s="57"/>
      <c r="F552" s="58"/>
      <c r="G552" s="56"/>
      <c r="H552" s="63" t="str">
        <f>IF(tbCartoes[[#This Row],[📂 Categoria]]="","",SUBSTITUTE(tbCartoes[[#This Row],[📂 Categoria]]," ","_"))</f>
        <v/>
      </c>
      <c r="I552" s="272"/>
    </row>
    <row r="553" spans="1:9">
      <c r="A553" s="59"/>
      <c r="B553" s="60"/>
      <c r="C553" s="60"/>
      <c r="D553" s="60"/>
      <c r="E553" s="61"/>
      <c r="F553" s="62"/>
      <c r="G553" s="60"/>
      <c r="H553" s="64" t="str">
        <f>IF(tbCartoes[[#This Row],[📂 Categoria]]="","",SUBSTITUTE(tbCartoes[[#This Row],[📂 Categoria]]," ","_"))</f>
        <v/>
      </c>
      <c r="I553" s="273"/>
    </row>
    <row r="554" spans="1:9">
      <c r="A554" s="55"/>
      <c r="B554" s="56"/>
      <c r="C554" s="56"/>
      <c r="D554" s="56"/>
      <c r="E554" s="57"/>
      <c r="F554" s="58"/>
      <c r="G554" s="56"/>
      <c r="H554" s="63" t="str">
        <f>IF(tbCartoes[[#This Row],[📂 Categoria]]="","",SUBSTITUTE(tbCartoes[[#This Row],[📂 Categoria]]," ","_"))</f>
        <v/>
      </c>
      <c r="I554" s="272"/>
    </row>
    <row r="555" spans="1:9">
      <c r="A555" s="59"/>
      <c r="B555" s="60"/>
      <c r="C555" s="60"/>
      <c r="D555" s="60"/>
      <c r="E555" s="61"/>
      <c r="F555" s="62"/>
      <c r="G555" s="60"/>
      <c r="H555" s="64" t="str">
        <f>IF(tbCartoes[[#This Row],[📂 Categoria]]="","",SUBSTITUTE(tbCartoes[[#This Row],[📂 Categoria]]," ","_"))</f>
        <v/>
      </c>
      <c r="I555" s="273"/>
    </row>
    <row r="556" spans="1:9">
      <c r="A556" s="55"/>
      <c r="B556" s="56"/>
      <c r="C556" s="56"/>
      <c r="D556" s="56"/>
      <c r="E556" s="57"/>
      <c r="F556" s="58"/>
      <c r="G556" s="56"/>
      <c r="H556" s="63" t="str">
        <f>IF(tbCartoes[[#This Row],[📂 Categoria]]="","",SUBSTITUTE(tbCartoes[[#This Row],[📂 Categoria]]," ","_"))</f>
        <v/>
      </c>
      <c r="I556" s="272"/>
    </row>
    <row r="557" spans="1:9">
      <c r="A557" s="59"/>
      <c r="B557" s="60"/>
      <c r="C557" s="60"/>
      <c r="D557" s="60"/>
      <c r="E557" s="61"/>
      <c r="F557" s="62"/>
      <c r="G557" s="60"/>
      <c r="H557" s="64" t="str">
        <f>IF(tbCartoes[[#This Row],[📂 Categoria]]="","",SUBSTITUTE(tbCartoes[[#This Row],[📂 Categoria]]," ","_"))</f>
        <v/>
      </c>
      <c r="I557" s="273"/>
    </row>
    <row r="558" spans="1:9">
      <c r="A558" s="55"/>
      <c r="B558" s="56"/>
      <c r="C558" s="56"/>
      <c r="D558" s="56"/>
      <c r="E558" s="57"/>
      <c r="F558" s="58"/>
      <c r="G558" s="56"/>
      <c r="H558" s="63" t="str">
        <f>IF(tbCartoes[[#This Row],[📂 Categoria]]="","",SUBSTITUTE(tbCartoes[[#This Row],[📂 Categoria]]," ","_"))</f>
        <v/>
      </c>
      <c r="I558" s="272"/>
    </row>
    <row r="559" spans="1:9">
      <c r="A559" s="59"/>
      <c r="B559" s="60"/>
      <c r="C559" s="60"/>
      <c r="D559" s="60"/>
      <c r="E559" s="61"/>
      <c r="F559" s="62"/>
      <c r="G559" s="60"/>
      <c r="H559" s="64" t="str">
        <f>IF(tbCartoes[[#This Row],[📂 Categoria]]="","",SUBSTITUTE(tbCartoes[[#This Row],[📂 Categoria]]," ","_"))</f>
        <v/>
      </c>
      <c r="I559" s="273"/>
    </row>
    <row r="560" spans="1:9">
      <c r="A560" s="55"/>
      <c r="B560" s="56"/>
      <c r="C560" s="56"/>
      <c r="D560" s="56"/>
      <c r="E560" s="57"/>
      <c r="F560" s="58"/>
      <c r="G560" s="56"/>
      <c r="H560" s="63" t="str">
        <f>IF(tbCartoes[[#This Row],[📂 Categoria]]="","",SUBSTITUTE(tbCartoes[[#This Row],[📂 Categoria]]," ","_"))</f>
        <v/>
      </c>
      <c r="I560" s="272"/>
    </row>
    <row r="561" spans="1:9">
      <c r="A561" s="59"/>
      <c r="B561" s="60"/>
      <c r="C561" s="60"/>
      <c r="D561" s="60"/>
      <c r="E561" s="61"/>
      <c r="F561" s="62"/>
      <c r="G561" s="60"/>
      <c r="H561" s="64" t="str">
        <f>IF(tbCartoes[[#This Row],[📂 Categoria]]="","",SUBSTITUTE(tbCartoes[[#This Row],[📂 Categoria]]," ","_"))</f>
        <v/>
      </c>
      <c r="I561" s="273"/>
    </row>
    <row r="562" spans="1:9">
      <c r="A562" s="55"/>
      <c r="B562" s="56"/>
      <c r="C562" s="56"/>
      <c r="D562" s="56"/>
      <c r="E562" s="57"/>
      <c r="F562" s="58"/>
      <c r="G562" s="56"/>
      <c r="H562" s="63" t="str">
        <f>IF(tbCartoes[[#This Row],[📂 Categoria]]="","",SUBSTITUTE(tbCartoes[[#This Row],[📂 Categoria]]," ","_"))</f>
        <v/>
      </c>
      <c r="I562" s="272"/>
    </row>
    <row r="563" spans="1:9">
      <c r="A563" s="59"/>
      <c r="B563" s="60"/>
      <c r="C563" s="60"/>
      <c r="D563" s="60"/>
      <c r="E563" s="61"/>
      <c r="F563" s="62"/>
      <c r="G563" s="60"/>
      <c r="H563" s="64" t="str">
        <f>IF(tbCartoes[[#This Row],[📂 Categoria]]="","",SUBSTITUTE(tbCartoes[[#This Row],[📂 Categoria]]," ","_"))</f>
        <v/>
      </c>
      <c r="I563" s="273"/>
    </row>
    <row r="564" spans="1:9">
      <c r="A564" s="55"/>
      <c r="B564" s="56"/>
      <c r="C564" s="56"/>
      <c r="D564" s="56"/>
      <c r="E564" s="57"/>
      <c r="F564" s="58"/>
      <c r="G564" s="56"/>
      <c r="H564" s="63" t="str">
        <f>IF(tbCartoes[[#This Row],[📂 Categoria]]="","",SUBSTITUTE(tbCartoes[[#This Row],[📂 Categoria]]," ","_"))</f>
        <v/>
      </c>
      <c r="I564" s="272"/>
    </row>
    <row r="565" spans="1:9">
      <c r="A565" s="59"/>
      <c r="B565" s="60"/>
      <c r="C565" s="60"/>
      <c r="D565" s="60"/>
      <c r="E565" s="61"/>
      <c r="F565" s="62"/>
      <c r="G565" s="60"/>
      <c r="H565" s="64" t="str">
        <f>IF(tbCartoes[[#This Row],[📂 Categoria]]="","",SUBSTITUTE(tbCartoes[[#This Row],[📂 Categoria]]," ","_"))</f>
        <v/>
      </c>
      <c r="I565" s="273"/>
    </row>
    <row r="566" spans="1:9">
      <c r="A566" s="55"/>
      <c r="B566" s="56"/>
      <c r="C566" s="56"/>
      <c r="D566" s="56"/>
      <c r="E566" s="57"/>
      <c r="F566" s="58"/>
      <c r="G566" s="56"/>
      <c r="H566" s="63" t="str">
        <f>IF(tbCartoes[[#This Row],[📂 Categoria]]="","",SUBSTITUTE(tbCartoes[[#This Row],[📂 Categoria]]," ","_"))</f>
        <v/>
      </c>
      <c r="I566" s="272"/>
    </row>
    <row r="567" spans="1:9">
      <c r="A567" s="59"/>
      <c r="B567" s="60"/>
      <c r="C567" s="60"/>
      <c r="D567" s="60"/>
      <c r="E567" s="61"/>
      <c r="F567" s="62"/>
      <c r="G567" s="60"/>
      <c r="H567" s="64" t="str">
        <f>IF(tbCartoes[[#This Row],[📂 Categoria]]="","",SUBSTITUTE(tbCartoes[[#This Row],[📂 Categoria]]," ","_"))</f>
        <v/>
      </c>
      <c r="I567" s="273"/>
    </row>
    <row r="568" spans="1:9">
      <c r="A568" s="55"/>
      <c r="B568" s="56"/>
      <c r="C568" s="56"/>
      <c r="D568" s="56"/>
      <c r="E568" s="57"/>
      <c r="F568" s="58"/>
      <c r="G568" s="56"/>
      <c r="H568" s="63" t="str">
        <f>IF(tbCartoes[[#This Row],[📂 Categoria]]="","",SUBSTITUTE(tbCartoes[[#This Row],[📂 Categoria]]," ","_"))</f>
        <v/>
      </c>
      <c r="I568" s="272"/>
    </row>
    <row r="569" spans="1:9">
      <c r="A569" s="59"/>
      <c r="B569" s="60"/>
      <c r="C569" s="60"/>
      <c r="D569" s="60"/>
      <c r="E569" s="61"/>
      <c r="F569" s="62"/>
      <c r="G569" s="60"/>
      <c r="H569" s="64" t="str">
        <f>IF(tbCartoes[[#This Row],[📂 Categoria]]="","",SUBSTITUTE(tbCartoes[[#This Row],[📂 Categoria]]," ","_"))</f>
        <v/>
      </c>
      <c r="I569" s="273"/>
    </row>
    <row r="570" spans="1:9">
      <c r="A570" s="55"/>
      <c r="B570" s="56"/>
      <c r="C570" s="56"/>
      <c r="D570" s="56"/>
      <c r="E570" s="57"/>
      <c r="F570" s="58"/>
      <c r="G570" s="56"/>
      <c r="H570" s="63" t="str">
        <f>IF(tbCartoes[[#This Row],[📂 Categoria]]="","",SUBSTITUTE(tbCartoes[[#This Row],[📂 Categoria]]," ","_"))</f>
        <v/>
      </c>
      <c r="I570" s="272"/>
    </row>
    <row r="571" spans="1:9">
      <c r="A571" s="59"/>
      <c r="B571" s="60"/>
      <c r="C571" s="60"/>
      <c r="D571" s="60"/>
      <c r="E571" s="61"/>
      <c r="F571" s="62"/>
      <c r="G571" s="60"/>
      <c r="H571" s="64" t="str">
        <f>IF(tbCartoes[[#This Row],[📂 Categoria]]="","",SUBSTITUTE(tbCartoes[[#This Row],[📂 Categoria]]," ","_"))</f>
        <v/>
      </c>
      <c r="I571" s="273"/>
    </row>
    <row r="572" spans="1:9">
      <c r="A572" s="55"/>
      <c r="B572" s="56"/>
      <c r="C572" s="56"/>
      <c r="D572" s="56"/>
      <c r="E572" s="57"/>
      <c r="F572" s="58"/>
      <c r="G572" s="56"/>
      <c r="H572" s="63" t="str">
        <f>IF(tbCartoes[[#This Row],[📂 Categoria]]="","",SUBSTITUTE(tbCartoes[[#This Row],[📂 Categoria]]," ","_"))</f>
        <v/>
      </c>
      <c r="I572" s="272"/>
    </row>
    <row r="573" spans="1:9">
      <c r="A573" s="59"/>
      <c r="B573" s="60"/>
      <c r="C573" s="60"/>
      <c r="D573" s="60"/>
      <c r="E573" s="61"/>
      <c r="F573" s="62"/>
      <c r="G573" s="60"/>
      <c r="H573" s="64" t="str">
        <f>IF(tbCartoes[[#This Row],[📂 Categoria]]="","",SUBSTITUTE(tbCartoes[[#This Row],[📂 Categoria]]," ","_"))</f>
        <v/>
      </c>
      <c r="I573" s="273"/>
    </row>
    <row r="574" spans="1:9" s="172" customFormat="1">
      <c r="A574" s="55"/>
      <c r="B574" s="56"/>
      <c r="C574" s="56"/>
      <c r="D574" s="56"/>
      <c r="E574" s="57"/>
      <c r="F574" s="58"/>
      <c r="G574" s="56"/>
      <c r="H574" t="str">
        <f>IF(tbCartoes[[#This Row],[📂 Categoria]]="","",SUBSTITUTE(tbCartoes[[#This Row],[📂 Categoria]]," ","_"))</f>
        <v/>
      </c>
      <c r="I574"/>
    </row>
    <row r="575" spans="1:9">
      <c r="A575" s="59"/>
      <c r="B575" s="60"/>
      <c r="C575" s="60"/>
      <c r="D575" s="60"/>
      <c r="E575" s="61"/>
      <c r="F575" s="62"/>
      <c r="G575" s="60"/>
      <c r="H575" s="64" t="str">
        <f>IF(tbCartoes[[#This Row],[📂 Categoria]]="","",SUBSTITUTE(tbCartoes[[#This Row],[📂 Categoria]]," ","_"))</f>
        <v/>
      </c>
      <c r="I575" s="273"/>
    </row>
    <row r="576" spans="1:9">
      <c r="A576" s="59"/>
      <c r="B576" s="60"/>
      <c r="C576" s="60"/>
      <c r="D576" s="60"/>
      <c r="E576" s="61"/>
      <c r="F576" s="62"/>
      <c r="G576" s="60"/>
      <c r="H576" s="64" t="str">
        <f>IF(tbCartoes[[#This Row],[📂 Categoria]]="","",SUBSTITUTE(tbCartoes[[#This Row],[📂 Categoria]]," ","_"))</f>
        <v/>
      </c>
      <c r="I576" s="273"/>
    </row>
    <row r="577" spans="1:9">
      <c r="A577" s="55"/>
      <c r="B577" s="56"/>
      <c r="C577" s="56"/>
      <c r="D577" s="56"/>
      <c r="E577" s="57"/>
      <c r="F577" s="58"/>
      <c r="G577" s="56"/>
      <c r="H577" s="63" t="str">
        <f>IF(tbCartoes[[#This Row],[📂 Categoria]]="","",SUBSTITUTE(tbCartoes[[#This Row],[📂 Categoria]]," ","_"))</f>
        <v/>
      </c>
      <c r="I577" s="272"/>
    </row>
    <row r="578" spans="1:9">
      <c r="A578" s="55"/>
      <c r="B578" s="56"/>
      <c r="C578" s="56"/>
      <c r="D578" s="56"/>
      <c r="E578" s="57"/>
      <c r="F578" s="58"/>
      <c r="G578" s="56"/>
      <c r="H578" s="63" t="str">
        <f>IF(tbCartoes[[#This Row],[📂 Categoria]]="","",SUBSTITUTE(tbCartoes[[#This Row],[📂 Categoria]]," ","_"))</f>
        <v/>
      </c>
      <c r="I578" s="272"/>
    </row>
    <row r="579" spans="1:9">
      <c r="A579" s="59"/>
      <c r="B579" s="60"/>
      <c r="C579" s="60"/>
      <c r="D579" s="60"/>
      <c r="E579" s="61"/>
      <c r="F579" s="62"/>
      <c r="G579" s="60"/>
      <c r="H579" s="64" t="str">
        <f>IF(tbCartoes[[#This Row],[📂 Categoria]]="","",SUBSTITUTE(tbCartoes[[#This Row],[📂 Categoria]]," ","_"))</f>
        <v/>
      </c>
      <c r="I579" s="273"/>
    </row>
    <row r="580" spans="1:9">
      <c r="A580" s="55"/>
      <c r="B580" s="56"/>
      <c r="C580" s="56"/>
      <c r="D580" s="56"/>
      <c r="E580" s="57"/>
      <c r="F580" s="58"/>
      <c r="G580" s="56"/>
      <c r="H580" s="63" t="str">
        <f>IF(tbCartoes[[#This Row],[📂 Categoria]]="","",SUBSTITUTE(tbCartoes[[#This Row],[📂 Categoria]]," ","_"))</f>
        <v/>
      </c>
      <c r="I580" s="272"/>
    </row>
    <row r="581" spans="1:9">
      <c r="A581" s="59"/>
      <c r="B581" s="60"/>
      <c r="C581" s="60"/>
      <c r="D581" s="60"/>
      <c r="E581" s="61"/>
      <c r="F581" s="62"/>
      <c r="G581" s="60"/>
      <c r="H581" s="64" t="str">
        <f>IF(tbCartoes[[#This Row],[📂 Categoria]]="","",SUBSTITUTE(tbCartoes[[#This Row],[📂 Categoria]]," ","_"))</f>
        <v/>
      </c>
      <c r="I581" s="273"/>
    </row>
    <row r="582" spans="1:9">
      <c r="A582" s="55"/>
      <c r="B582" s="56"/>
      <c r="C582" s="56"/>
      <c r="D582" s="56"/>
      <c r="E582" s="57"/>
      <c r="F582" s="58"/>
      <c r="G582" s="56"/>
      <c r="H582" s="63" t="str">
        <f>IF(tbCartoes[[#This Row],[📂 Categoria]]="","",SUBSTITUTE(tbCartoes[[#This Row],[📂 Categoria]]," ","_"))</f>
        <v/>
      </c>
      <c r="I582" s="272"/>
    </row>
    <row r="583" spans="1:9">
      <c r="A583" s="59"/>
      <c r="B583" s="60"/>
      <c r="C583" s="60"/>
      <c r="D583" s="60"/>
      <c r="E583" s="61"/>
      <c r="F583" s="62"/>
      <c r="G583" s="60"/>
      <c r="H583" s="64" t="str">
        <f>IF(tbCartoes[[#This Row],[📂 Categoria]]="","",SUBSTITUTE(tbCartoes[[#This Row],[📂 Categoria]]," ","_"))</f>
        <v/>
      </c>
      <c r="I583" s="273"/>
    </row>
    <row r="584" spans="1:9">
      <c r="A584" s="55"/>
      <c r="B584" s="56"/>
      <c r="C584" s="56"/>
      <c r="D584" s="56"/>
      <c r="E584" s="57"/>
      <c r="F584" s="58"/>
      <c r="G584" s="56"/>
      <c r="H584" s="63" t="str">
        <f>IF(tbCartoes[[#This Row],[📂 Categoria]]="","",SUBSTITUTE(tbCartoes[[#This Row],[📂 Categoria]]," ","_"))</f>
        <v/>
      </c>
      <c r="I584" s="272"/>
    </row>
    <row r="585" spans="1:9">
      <c r="A585" s="59"/>
      <c r="B585" s="60"/>
      <c r="C585" s="60"/>
      <c r="D585" s="60"/>
      <c r="E585" s="61"/>
      <c r="F585" s="62"/>
      <c r="G585" s="60"/>
      <c r="H585" s="64" t="str">
        <f>IF(tbCartoes[[#This Row],[📂 Categoria]]="","",SUBSTITUTE(tbCartoes[[#This Row],[📂 Categoria]]," ","_"))</f>
        <v/>
      </c>
      <c r="I585" s="273"/>
    </row>
    <row r="586" spans="1:9">
      <c r="A586" s="55"/>
      <c r="B586" s="56"/>
      <c r="C586" s="56"/>
      <c r="D586" s="56"/>
      <c r="E586" s="57"/>
      <c r="F586" s="58"/>
      <c r="G586" s="56"/>
      <c r="H586" s="63" t="str">
        <f>IF(tbCartoes[[#This Row],[📂 Categoria]]="","",SUBSTITUTE(tbCartoes[[#This Row],[📂 Categoria]]," ","_"))</f>
        <v/>
      </c>
      <c r="I586" s="272"/>
    </row>
    <row r="587" spans="1:9">
      <c r="A587" s="59"/>
      <c r="B587" s="60"/>
      <c r="C587" s="60"/>
      <c r="D587" s="60"/>
      <c r="E587" s="61"/>
      <c r="F587" s="62"/>
      <c r="G587" s="60"/>
      <c r="H587" s="64" t="str">
        <f>IF(tbCartoes[[#This Row],[📂 Categoria]]="","",SUBSTITUTE(tbCartoes[[#This Row],[📂 Categoria]]," ","_"))</f>
        <v/>
      </c>
      <c r="I587" s="273"/>
    </row>
    <row r="588" spans="1:9">
      <c r="A588" s="55"/>
      <c r="B588" s="56"/>
      <c r="C588" s="56"/>
      <c r="D588" s="56"/>
      <c r="E588" s="57"/>
      <c r="F588" s="58"/>
      <c r="G588" s="56"/>
      <c r="H588" s="63" t="str">
        <f>IF(tbCartoes[[#This Row],[📂 Categoria]]="","",SUBSTITUTE(tbCartoes[[#This Row],[📂 Categoria]]," ","_"))</f>
        <v/>
      </c>
      <c r="I588" s="272"/>
    </row>
    <row r="589" spans="1:9">
      <c r="A589" s="59"/>
      <c r="B589" s="60"/>
      <c r="C589" s="60"/>
      <c r="D589" s="60"/>
      <c r="E589" s="61"/>
      <c r="F589" s="62"/>
      <c r="G589" s="60"/>
      <c r="H589" s="64" t="str">
        <f>IF(tbCartoes[[#This Row],[📂 Categoria]]="","",SUBSTITUTE(tbCartoes[[#This Row],[📂 Categoria]]," ","_"))</f>
        <v/>
      </c>
      <c r="I589" s="273"/>
    </row>
    <row r="590" spans="1:9">
      <c r="A590" s="55"/>
      <c r="B590" s="56"/>
      <c r="C590" s="56"/>
      <c r="D590" s="56"/>
      <c r="E590" s="57"/>
      <c r="F590" s="58"/>
      <c r="G590" s="56"/>
      <c r="H590" s="63" t="str">
        <f>IF(tbCartoes[[#This Row],[📂 Categoria]]="","",SUBSTITUTE(tbCartoes[[#This Row],[📂 Categoria]]," ","_"))</f>
        <v/>
      </c>
      <c r="I590" s="272"/>
    </row>
    <row r="591" spans="1:9">
      <c r="A591" s="59"/>
      <c r="B591" s="60"/>
      <c r="C591" s="60"/>
      <c r="D591" s="60"/>
      <c r="E591" s="61"/>
      <c r="F591" s="62"/>
      <c r="G591" s="60"/>
      <c r="H591" s="64" t="str">
        <f>IF(tbCartoes[[#This Row],[📂 Categoria]]="","",SUBSTITUTE(tbCartoes[[#This Row],[📂 Categoria]]," ","_"))</f>
        <v/>
      </c>
      <c r="I591" s="273"/>
    </row>
    <row r="592" spans="1:9">
      <c r="A592" s="55"/>
      <c r="B592" s="56"/>
      <c r="C592" s="56"/>
      <c r="D592" s="56"/>
      <c r="E592" s="57"/>
      <c r="F592" s="58"/>
      <c r="G592" s="56"/>
      <c r="H592" s="63" t="str">
        <f>IF(tbCartoes[[#This Row],[📂 Categoria]]="","",SUBSTITUTE(tbCartoes[[#This Row],[📂 Categoria]]," ","_"))</f>
        <v/>
      </c>
      <c r="I592" s="272"/>
    </row>
    <row r="593" spans="1:9">
      <c r="A593" s="59"/>
      <c r="B593" s="60"/>
      <c r="C593" s="60"/>
      <c r="D593" s="60"/>
      <c r="E593" s="61"/>
      <c r="F593" s="62"/>
      <c r="G593" s="60"/>
      <c r="H593" s="64" t="str">
        <f>IF(tbCartoes[[#This Row],[📂 Categoria]]="","",SUBSTITUTE(tbCartoes[[#This Row],[📂 Categoria]]," ","_"))</f>
        <v/>
      </c>
      <c r="I593" s="273"/>
    </row>
    <row r="594" spans="1:9">
      <c r="A594" s="55"/>
      <c r="B594" s="56"/>
      <c r="C594" s="56"/>
      <c r="D594" s="56"/>
      <c r="E594" s="57"/>
      <c r="F594" s="58"/>
      <c r="G594" s="56"/>
      <c r="H594" s="63" t="str">
        <f>IF(tbCartoes[[#This Row],[📂 Categoria]]="","",SUBSTITUTE(tbCartoes[[#This Row],[📂 Categoria]]," ","_"))</f>
        <v/>
      </c>
      <c r="I594" s="272"/>
    </row>
    <row r="595" spans="1:9">
      <c r="A595" s="59"/>
      <c r="B595" s="60"/>
      <c r="C595" s="60"/>
      <c r="D595" s="60"/>
      <c r="E595" s="61"/>
      <c r="F595" s="62"/>
      <c r="G595" s="60"/>
      <c r="H595" s="64" t="str">
        <f>IF(tbCartoes[[#This Row],[📂 Categoria]]="","",SUBSTITUTE(tbCartoes[[#This Row],[📂 Categoria]]," ","_"))</f>
        <v/>
      </c>
      <c r="I595" s="273"/>
    </row>
    <row r="596" spans="1:9">
      <c r="A596" s="55"/>
      <c r="B596" s="56"/>
      <c r="C596" s="56"/>
      <c r="D596" s="56"/>
      <c r="E596" s="57"/>
      <c r="F596" s="58"/>
      <c r="G596" s="56"/>
      <c r="H596" s="63" t="str">
        <f>IF(tbCartoes[[#This Row],[📂 Categoria]]="","",SUBSTITUTE(tbCartoes[[#This Row],[📂 Categoria]]," ","_"))</f>
        <v/>
      </c>
      <c r="I596" s="272"/>
    </row>
    <row r="597" spans="1:9">
      <c r="A597" s="59"/>
      <c r="B597" s="60"/>
      <c r="C597" s="60"/>
      <c r="D597" s="60"/>
      <c r="E597" s="61"/>
      <c r="F597" s="62"/>
      <c r="G597" s="60"/>
      <c r="H597" s="64" t="str">
        <f>IF(tbCartoes[[#This Row],[📂 Categoria]]="","",SUBSTITUTE(tbCartoes[[#This Row],[📂 Categoria]]," ","_"))</f>
        <v/>
      </c>
      <c r="I597" s="273"/>
    </row>
    <row r="598" spans="1:9">
      <c r="A598" s="55"/>
      <c r="B598" s="56"/>
      <c r="C598" s="56"/>
      <c r="D598" s="56"/>
      <c r="E598" s="57"/>
      <c r="F598" s="58"/>
      <c r="G598" s="56"/>
      <c r="H598" s="63" t="str">
        <f>IF(tbCartoes[[#This Row],[📂 Categoria]]="","",SUBSTITUTE(tbCartoes[[#This Row],[📂 Categoria]]," ","_"))</f>
        <v/>
      </c>
      <c r="I598" s="272"/>
    </row>
    <row r="599" spans="1:9">
      <c r="A599" s="59"/>
      <c r="B599" s="60"/>
      <c r="C599" s="60"/>
      <c r="D599" s="60"/>
      <c r="E599" s="61"/>
      <c r="F599" s="62"/>
      <c r="G599" s="60"/>
      <c r="H599" s="64" t="str">
        <f>IF(tbCartoes[[#This Row],[📂 Categoria]]="","",SUBSTITUTE(tbCartoes[[#This Row],[📂 Categoria]]," ","_"))</f>
        <v/>
      </c>
      <c r="I599" s="273"/>
    </row>
    <row r="600" spans="1:9">
      <c r="A600" s="55"/>
      <c r="B600" s="56"/>
      <c r="C600" s="56"/>
      <c r="D600" s="56"/>
      <c r="E600" s="57"/>
      <c r="F600" s="58"/>
      <c r="G600" s="56"/>
      <c r="H600" s="63" t="str">
        <f>IF(tbCartoes[[#This Row],[📂 Categoria]]="","",SUBSTITUTE(tbCartoes[[#This Row],[📂 Categoria]]," ","_"))</f>
        <v/>
      </c>
      <c r="I600" s="272"/>
    </row>
    <row r="601" spans="1:9">
      <c r="A601" s="59"/>
      <c r="B601" s="60"/>
      <c r="C601" s="60"/>
      <c r="D601" s="60"/>
      <c r="E601" s="61"/>
      <c r="F601" s="62"/>
      <c r="G601" s="60"/>
      <c r="H601" s="64" t="str">
        <f>IF(tbCartoes[[#This Row],[📂 Categoria]]="","",SUBSTITUTE(tbCartoes[[#This Row],[📂 Categoria]]," ","_"))</f>
        <v/>
      </c>
      <c r="I601" s="273"/>
    </row>
    <row r="602" spans="1:9">
      <c r="A602" s="55"/>
      <c r="B602" s="56"/>
      <c r="C602" s="56"/>
      <c r="D602" s="56"/>
      <c r="E602" s="57"/>
      <c r="F602" s="58"/>
      <c r="G602" s="56"/>
      <c r="H602" s="63" t="str">
        <f>IF(tbCartoes[[#This Row],[📂 Categoria]]="","",SUBSTITUTE(tbCartoes[[#This Row],[📂 Categoria]]," ","_"))</f>
        <v/>
      </c>
      <c r="I602" s="272"/>
    </row>
    <row r="603" spans="1:9">
      <c r="A603" s="59"/>
      <c r="B603" s="60"/>
      <c r="C603" s="60"/>
      <c r="D603" s="60"/>
      <c r="E603" s="61"/>
      <c r="F603" s="62"/>
      <c r="G603" s="60"/>
      <c r="H603" s="64" t="str">
        <f>IF(tbCartoes[[#This Row],[📂 Categoria]]="","",SUBSTITUTE(tbCartoes[[#This Row],[📂 Categoria]]," ","_"))</f>
        <v/>
      </c>
      <c r="I603" s="273"/>
    </row>
    <row r="604" spans="1:9">
      <c r="A604" s="55"/>
      <c r="B604" s="56"/>
      <c r="C604" s="56"/>
      <c r="D604" s="56"/>
      <c r="E604" s="57"/>
      <c r="F604" s="58"/>
      <c r="G604" s="56"/>
      <c r="H604" s="63" t="str">
        <f>IF(tbCartoes[[#This Row],[📂 Categoria]]="","",SUBSTITUTE(tbCartoes[[#This Row],[📂 Categoria]]," ","_"))</f>
        <v/>
      </c>
      <c r="I604" s="272"/>
    </row>
    <row r="605" spans="1:9">
      <c r="A605" s="59"/>
      <c r="B605" s="60"/>
      <c r="C605" s="60"/>
      <c r="D605" s="60"/>
      <c r="E605" s="61"/>
      <c r="F605" s="62"/>
      <c r="G605" s="60"/>
      <c r="H605" s="64" t="str">
        <f>IF(tbCartoes[[#This Row],[📂 Categoria]]="","",SUBSTITUTE(tbCartoes[[#This Row],[📂 Categoria]]," ","_"))</f>
        <v/>
      </c>
      <c r="I605" s="273"/>
    </row>
    <row r="606" spans="1:9">
      <c r="A606" s="55"/>
      <c r="B606" s="56"/>
      <c r="C606" s="56"/>
      <c r="D606" s="56"/>
      <c r="E606" s="57"/>
      <c r="F606" s="58"/>
      <c r="G606" s="56"/>
      <c r="H606" s="63" t="str">
        <f>IF(tbCartoes[[#This Row],[📂 Categoria]]="","",SUBSTITUTE(tbCartoes[[#This Row],[📂 Categoria]]," ","_"))</f>
        <v/>
      </c>
      <c r="I606" s="272"/>
    </row>
    <row r="607" spans="1:9">
      <c r="A607" s="59"/>
      <c r="B607" s="60"/>
      <c r="C607" s="60"/>
      <c r="D607" s="60"/>
      <c r="E607" s="61"/>
      <c r="F607" s="62"/>
      <c r="G607" s="60"/>
      <c r="H607" s="64" t="str">
        <f>IF(tbCartoes[[#This Row],[📂 Categoria]]="","",SUBSTITUTE(tbCartoes[[#This Row],[📂 Categoria]]," ","_"))</f>
        <v/>
      </c>
      <c r="I607" s="273"/>
    </row>
    <row r="608" spans="1:9">
      <c r="A608" s="55"/>
      <c r="B608" s="56"/>
      <c r="C608" s="56"/>
      <c r="D608" s="56"/>
      <c r="E608" s="57"/>
      <c r="F608" s="58"/>
      <c r="G608" s="56"/>
      <c r="H608" s="63" t="str">
        <f>IF(tbCartoes[[#This Row],[📂 Categoria]]="","",SUBSTITUTE(tbCartoes[[#This Row],[📂 Categoria]]," ","_"))</f>
        <v/>
      </c>
      <c r="I608" s="272"/>
    </row>
    <row r="609" spans="1:9">
      <c r="A609" s="59"/>
      <c r="B609" s="60"/>
      <c r="C609" s="60"/>
      <c r="D609" s="60"/>
      <c r="E609" s="61"/>
      <c r="F609" s="62"/>
      <c r="G609" s="60"/>
      <c r="H609" s="64" t="str">
        <f>IF(tbCartoes[[#This Row],[📂 Categoria]]="","",SUBSTITUTE(tbCartoes[[#This Row],[📂 Categoria]]," ","_"))</f>
        <v/>
      </c>
      <c r="I609" s="273"/>
    </row>
    <row r="610" spans="1:9">
      <c r="A610" s="55"/>
      <c r="B610" s="56"/>
      <c r="C610" s="56"/>
      <c r="D610" s="56"/>
      <c r="E610" s="57"/>
      <c r="F610" s="58"/>
      <c r="G610" s="56"/>
      <c r="H610" s="63" t="str">
        <f>IF(tbCartoes[[#This Row],[📂 Categoria]]="","",SUBSTITUTE(tbCartoes[[#This Row],[📂 Categoria]]," ","_"))</f>
        <v/>
      </c>
      <c r="I610" s="272"/>
    </row>
    <row r="611" spans="1:9">
      <c r="A611" s="59"/>
      <c r="B611" s="60"/>
      <c r="C611" s="60"/>
      <c r="D611" s="60"/>
      <c r="E611" s="61"/>
      <c r="F611" s="62"/>
      <c r="G611" s="60"/>
      <c r="H611" s="64" t="str">
        <f>IF(tbCartoes[[#This Row],[📂 Categoria]]="","",SUBSTITUTE(tbCartoes[[#This Row],[📂 Categoria]]," ","_"))</f>
        <v/>
      </c>
      <c r="I611" s="273"/>
    </row>
    <row r="612" spans="1:9">
      <c r="A612" s="55"/>
      <c r="B612" s="56"/>
      <c r="C612" s="56"/>
      <c r="D612" s="56"/>
      <c r="E612" s="57"/>
      <c r="F612" s="58"/>
      <c r="G612" s="56"/>
      <c r="H612" s="63" t="str">
        <f>IF(tbCartoes[[#This Row],[📂 Categoria]]="","",SUBSTITUTE(tbCartoes[[#This Row],[📂 Categoria]]," ","_"))</f>
        <v/>
      </c>
      <c r="I612" s="272"/>
    </row>
    <row r="613" spans="1:9">
      <c r="A613" s="59"/>
      <c r="B613" s="60"/>
      <c r="C613" s="60"/>
      <c r="D613" s="60"/>
      <c r="E613" s="61"/>
      <c r="F613" s="62"/>
      <c r="G613" s="60"/>
      <c r="H613" s="64" t="str">
        <f>IF(tbCartoes[[#This Row],[📂 Categoria]]="","",SUBSTITUTE(tbCartoes[[#This Row],[📂 Categoria]]," ","_"))</f>
        <v/>
      </c>
      <c r="I613" s="273"/>
    </row>
    <row r="614" spans="1:9">
      <c r="A614" s="55"/>
      <c r="B614" s="56"/>
      <c r="C614" s="56"/>
      <c r="D614" s="56"/>
      <c r="E614" s="57"/>
      <c r="F614" s="58"/>
      <c r="G614" s="56"/>
      <c r="H614" s="63" t="str">
        <f>IF(tbCartoes[[#This Row],[📂 Categoria]]="","",SUBSTITUTE(tbCartoes[[#This Row],[📂 Categoria]]," ","_"))</f>
        <v/>
      </c>
      <c r="I614" s="272"/>
    </row>
    <row r="615" spans="1:9">
      <c r="A615" s="59"/>
      <c r="B615" s="60"/>
      <c r="C615" s="60"/>
      <c r="D615" s="60"/>
      <c r="E615" s="61"/>
      <c r="F615" s="62"/>
      <c r="G615" s="60"/>
      <c r="H615" s="64" t="str">
        <f>IF(tbCartoes[[#This Row],[📂 Categoria]]="","",SUBSTITUTE(tbCartoes[[#This Row],[📂 Categoria]]," ","_"))</f>
        <v/>
      </c>
      <c r="I615" s="273"/>
    </row>
    <row r="616" spans="1:9">
      <c r="A616" s="55"/>
      <c r="B616" s="56"/>
      <c r="C616" s="56"/>
      <c r="D616" s="56"/>
      <c r="E616" s="57"/>
      <c r="F616" s="58"/>
      <c r="G616" s="56"/>
      <c r="H616" s="63" t="str">
        <f>IF(tbCartoes[[#This Row],[📂 Categoria]]="","",SUBSTITUTE(tbCartoes[[#This Row],[📂 Categoria]]," ","_"))</f>
        <v/>
      </c>
      <c r="I616" s="272"/>
    </row>
    <row r="617" spans="1:9">
      <c r="A617" s="59"/>
      <c r="B617" s="60"/>
      <c r="C617" s="60"/>
      <c r="D617" s="60"/>
      <c r="E617" s="61"/>
      <c r="F617" s="62"/>
      <c r="G617" s="60"/>
      <c r="H617" s="64" t="str">
        <f>IF(tbCartoes[[#This Row],[📂 Categoria]]="","",SUBSTITUTE(tbCartoes[[#This Row],[📂 Categoria]]," ","_"))</f>
        <v/>
      </c>
      <c r="I617" s="273"/>
    </row>
    <row r="618" spans="1:9">
      <c r="A618" s="55"/>
      <c r="B618" s="56"/>
      <c r="C618" s="56"/>
      <c r="D618" s="56"/>
      <c r="E618" s="57"/>
      <c r="F618" s="58"/>
      <c r="G618" s="56"/>
      <c r="H618" s="63" t="str">
        <f>IF(tbCartoes[[#This Row],[📂 Categoria]]="","",SUBSTITUTE(tbCartoes[[#This Row],[📂 Categoria]]," ","_"))</f>
        <v/>
      </c>
      <c r="I618" s="272"/>
    </row>
    <row r="619" spans="1:9">
      <c r="A619" s="59"/>
      <c r="B619" s="60"/>
      <c r="C619" s="60"/>
      <c r="D619" s="60"/>
      <c r="E619" s="61"/>
      <c r="F619" s="62"/>
      <c r="G619" s="60"/>
      <c r="H619" s="64" t="str">
        <f>IF(tbCartoes[[#This Row],[📂 Categoria]]="","",SUBSTITUTE(tbCartoes[[#This Row],[📂 Categoria]]," ","_"))</f>
        <v/>
      </c>
      <c r="I619" s="273"/>
    </row>
    <row r="620" spans="1:9">
      <c r="A620" s="55"/>
      <c r="B620" s="56"/>
      <c r="C620" s="56"/>
      <c r="D620" s="56"/>
      <c r="E620" s="57"/>
      <c r="F620" s="58"/>
      <c r="G620" s="56"/>
      <c r="H620" s="63" t="str">
        <f>IF(tbCartoes[[#This Row],[📂 Categoria]]="","",SUBSTITUTE(tbCartoes[[#This Row],[📂 Categoria]]," ","_"))</f>
        <v/>
      </c>
      <c r="I620" s="272"/>
    </row>
    <row r="621" spans="1:9">
      <c r="A621" s="59"/>
      <c r="B621" s="60"/>
      <c r="C621" s="60"/>
      <c r="D621" s="60"/>
      <c r="E621" s="61"/>
      <c r="F621" s="62"/>
      <c r="G621" s="60"/>
      <c r="H621" s="64" t="str">
        <f>IF(tbCartoes[[#This Row],[📂 Categoria]]="","",SUBSTITUTE(tbCartoes[[#This Row],[📂 Categoria]]," ","_"))</f>
        <v/>
      </c>
      <c r="I621" s="273"/>
    </row>
    <row r="622" spans="1:9">
      <c r="A622" s="55"/>
      <c r="B622" s="56"/>
      <c r="C622" s="56"/>
      <c r="D622" s="56"/>
      <c r="E622" s="57"/>
      <c r="F622" s="58"/>
      <c r="G622" s="56"/>
      <c r="H622" s="63" t="str">
        <f>IF(tbCartoes[[#This Row],[📂 Categoria]]="","",SUBSTITUTE(tbCartoes[[#This Row],[📂 Categoria]]," ","_"))</f>
        <v/>
      </c>
      <c r="I622" s="272"/>
    </row>
    <row r="623" spans="1:9">
      <c r="A623" s="59"/>
      <c r="B623" s="60"/>
      <c r="C623" s="60"/>
      <c r="D623" s="60"/>
      <c r="E623" s="61"/>
      <c r="F623" s="62"/>
      <c r="G623" s="60"/>
      <c r="H623" s="64" t="str">
        <f>IF(tbCartoes[[#This Row],[📂 Categoria]]="","",SUBSTITUTE(tbCartoes[[#This Row],[📂 Categoria]]," ","_"))</f>
        <v/>
      </c>
      <c r="I623" s="273"/>
    </row>
    <row r="624" spans="1:9">
      <c r="A624" s="55"/>
      <c r="B624" s="56"/>
      <c r="C624" s="56"/>
      <c r="D624" s="56"/>
      <c r="E624" s="57"/>
      <c r="F624" s="58"/>
      <c r="G624" s="56"/>
      <c r="H624" s="63" t="str">
        <f>IF(tbCartoes[[#This Row],[📂 Categoria]]="","",SUBSTITUTE(tbCartoes[[#This Row],[📂 Categoria]]," ","_"))</f>
        <v/>
      </c>
      <c r="I624" s="272"/>
    </row>
    <row r="625" spans="1:9">
      <c r="A625" s="59"/>
      <c r="B625" s="60"/>
      <c r="C625" s="60"/>
      <c r="D625" s="60"/>
      <c r="E625" s="61"/>
      <c r="F625" s="62"/>
      <c r="G625" s="60"/>
      <c r="H625" s="64" t="str">
        <f>IF(tbCartoes[[#This Row],[📂 Categoria]]="","",SUBSTITUTE(tbCartoes[[#This Row],[📂 Categoria]]," ","_"))</f>
        <v/>
      </c>
      <c r="I625" s="273"/>
    </row>
    <row r="626" spans="1:9">
      <c r="A626" s="55"/>
      <c r="B626" s="56"/>
      <c r="C626" s="56"/>
      <c r="D626" s="56"/>
      <c r="E626" s="57"/>
      <c r="F626" s="58"/>
      <c r="G626" s="56"/>
      <c r="H626" s="63" t="str">
        <f>IF(tbCartoes[[#This Row],[📂 Categoria]]="","",SUBSTITUTE(tbCartoes[[#This Row],[📂 Categoria]]," ","_"))</f>
        <v/>
      </c>
      <c r="I626" s="272"/>
    </row>
    <row r="627" spans="1:9">
      <c r="A627" s="59"/>
      <c r="B627" s="60"/>
      <c r="C627" s="60"/>
      <c r="D627" s="60"/>
      <c r="E627" s="61"/>
      <c r="F627" s="62"/>
      <c r="G627" s="60"/>
      <c r="H627" s="64" t="str">
        <f>IF(tbCartoes[[#This Row],[📂 Categoria]]="","",SUBSTITUTE(tbCartoes[[#This Row],[📂 Categoria]]," ","_"))</f>
        <v/>
      </c>
      <c r="I627" s="273"/>
    </row>
    <row r="628" spans="1:9">
      <c r="A628" s="55"/>
      <c r="B628" s="56"/>
      <c r="C628" s="56"/>
      <c r="D628" s="56"/>
      <c r="E628" s="57"/>
      <c r="F628" s="58"/>
      <c r="G628" s="56"/>
      <c r="H628" s="63" t="str">
        <f>IF(tbCartoes[[#This Row],[📂 Categoria]]="","",SUBSTITUTE(tbCartoes[[#This Row],[📂 Categoria]]," ","_"))</f>
        <v/>
      </c>
      <c r="I628" s="272"/>
    </row>
    <row r="629" spans="1:9">
      <c r="A629" s="59"/>
      <c r="B629" s="60"/>
      <c r="C629" s="60"/>
      <c r="D629" s="60"/>
      <c r="E629" s="61"/>
      <c r="F629" s="62"/>
      <c r="G629" s="60"/>
      <c r="H629" s="64" t="str">
        <f>IF(tbCartoes[[#This Row],[📂 Categoria]]="","",SUBSTITUTE(tbCartoes[[#This Row],[📂 Categoria]]," ","_"))</f>
        <v/>
      </c>
      <c r="I629" s="273"/>
    </row>
    <row r="630" spans="1:9">
      <c r="A630" s="55"/>
      <c r="B630" s="56"/>
      <c r="C630" s="56"/>
      <c r="D630" s="56"/>
      <c r="E630" s="57"/>
      <c r="F630" s="58"/>
      <c r="G630" s="56"/>
      <c r="H630" s="63" t="str">
        <f>IF(tbCartoes[[#This Row],[📂 Categoria]]="","",SUBSTITUTE(tbCartoes[[#This Row],[📂 Categoria]]," ","_"))</f>
        <v/>
      </c>
      <c r="I630" s="272"/>
    </row>
    <row r="631" spans="1:9">
      <c r="A631" s="59"/>
      <c r="B631" s="60"/>
      <c r="C631" s="60"/>
      <c r="D631" s="60"/>
      <c r="E631" s="61"/>
      <c r="F631" s="62"/>
      <c r="G631" s="60"/>
      <c r="H631" s="64" t="str">
        <f>IF(tbCartoes[[#This Row],[📂 Categoria]]="","",SUBSTITUTE(tbCartoes[[#This Row],[📂 Categoria]]," ","_"))</f>
        <v/>
      </c>
      <c r="I631" s="273"/>
    </row>
    <row r="632" spans="1:9">
      <c r="A632" s="55"/>
      <c r="B632" s="56"/>
      <c r="C632" s="56"/>
      <c r="D632" s="56"/>
      <c r="E632" s="57"/>
      <c r="F632" s="58"/>
      <c r="G632" s="56"/>
      <c r="H632" s="63" t="str">
        <f>IF(tbCartoes[[#This Row],[📂 Categoria]]="","",SUBSTITUTE(tbCartoes[[#This Row],[📂 Categoria]]," ","_"))</f>
        <v/>
      </c>
      <c r="I632" s="272"/>
    </row>
    <row r="633" spans="1:9">
      <c r="A633" s="59"/>
      <c r="B633" s="60"/>
      <c r="C633" s="60"/>
      <c r="D633" s="60"/>
      <c r="E633" s="61"/>
      <c r="F633" s="62"/>
      <c r="G633" s="60"/>
      <c r="H633" s="64" t="str">
        <f>IF(tbCartoes[[#This Row],[📂 Categoria]]="","",SUBSTITUTE(tbCartoes[[#This Row],[📂 Categoria]]," ","_"))</f>
        <v/>
      </c>
      <c r="I633" s="273"/>
    </row>
    <row r="634" spans="1:9">
      <c r="A634" s="55"/>
      <c r="B634" s="56"/>
      <c r="C634" s="56"/>
      <c r="D634" s="56"/>
      <c r="E634" s="57"/>
      <c r="F634" s="58"/>
      <c r="G634" s="56"/>
      <c r="H634" s="63" t="str">
        <f>IF(tbCartoes[[#This Row],[📂 Categoria]]="","",SUBSTITUTE(tbCartoes[[#This Row],[📂 Categoria]]," ","_"))</f>
        <v/>
      </c>
      <c r="I634" s="272"/>
    </row>
    <row r="635" spans="1:9">
      <c r="A635" s="59"/>
      <c r="B635" s="60"/>
      <c r="C635" s="60"/>
      <c r="D635" s="60"/>
      <c r="E635" s="61"/>
      <c r="F635" s="62"/>
      <c r="G635" s="60"/>
      <c r="H635" s="64" t="str">
        <f>IF(tbCartoes[[#This Row],[📂 Categoria]]="","",SUBSTITUTE(tbCartoes[[#This Row],[📂 Categoria]]," ","_"))</f>
        <v/>
      </c>
      <c r="I635" s="273"/>
    </row>
    <row r="636" spans="1:9">
      <c r="A636" s="55"/>
      <c r="B636" s="56"/>
      <c r="C636" s="56"/>
      <c r="D636" s="56"/>
      <c r="E636" s="57"/>
      <c r="F636" s="58"/>
      <c r="G636" s="56"/>
      <c r="H636" s="63" t="str">
        <f>IF(tbCartoes[[#This Row],[📂 Categoria]]="","",SUBSTITUTE(tbCartoes[[#This Row],[📂 Categoria]]," ","_"))</f>
        <v/>
      </c>
      <c r="I636" s="272"/>
    </row>
    <row r="637" spans="1:9">
      <c r="A637" s="59"/>
      <c r="B637" s="60"/>
      <c r="C637" s="60"/>
      <c r="D637" s="60"/>
      <c r="E637" s="61"/>
      <c r="F637" s="62"/>
      <c r="G637" s="60"/>
      <c r="H637" s="64" t="str">
        <f>IF(tbCartoes[[#This Row],[📂 Categoria]]="","",SUBSTITUTE(tbCartoes[[#This Row],[📂 Categoria]]," ","_"))</f>
        <v/>
      </c>
      <c r="I637" s="273"/>
    </row>
    <row r="638" spans="1:9">
      <c r="A638" s="55"/>
      <c r="B638" s="56"/>
      <c r="C638" s="56"/>
      <c r="D638" s="56"/>
      <c r="E638" s="57"/>
      <c r="F638" s="58"/>
      <c r="G638" s="56"/>
      <c r="H638" s="63" t="str">
        <f>IF(tbCartoes[[#This Row],[📂 Categoria]]="","",SUBSTITUTE(tbCartoes[[#This Row],[📂 Categoria]]," ","_"))</f>
        <v/>
      </c>
      <c r="I638" s="272"/>
    </row>
    <row r="639" spans="1:9">
      <c r="A639" s="59"/>
      <c r="B639" s="60"/>
      <c r="C639" s="60"/>
      <c r="D639" s="60"/>
      <c r="E639" s="61"/>
      <c r="F639" s="62"/>
      <c r="G639" s="60"/>
      <c r="H639" s="64" t="str">
        <f>IF(tbCartoes[[#This Row],[📂 Categoria]]="","",SUBSTITUTE(tbCartoes[[#This Row],[📂 Categoria]]," ","_"))</f>
        <v/>
      </c>
      <c r="I639" s="273"/>
    </row>
    <row r="640" spans="1:9">
      <c r="A640" s="55"/>
      <c r="B640" s="56"/>
      <c r="C640" s="56"/>
      <c r="D640" s="56"/>
      <c r="E640" s="57"/>
      <c r="F640" s="58"/>
      <c r="G640" s="56"/>
      <c r="H640" s="63" t="str">
        <f>IF(tbCartoes[[#This Row],[📂 Categoria]]="","",SUBSTITUTE(tbCartoes[[#This Row],[📂 Categoria]]," ","_"))</f>
        <v/>
      </c>
      <c r="I640" s="272"/>
    </row>
    <row r="641" spans="1:9">
      <c r="A641" s="59"/>
      <c r="B641" s="60"/>
      <c r="C641" s="60"/>
      <c r="D641" s="60"/>
      <c r="E641" s="61"/>
      <c r="F641" s="62"/>
      <c r="G641" s="60"/>
      <c r="H641" s="64" t="str">
        <f>IF(tbCartoes[[#This Row],[📂 Categoria]]="","",SUBSTITUTE(tbCartoes[[#This Row],[📂 Categoria]]," ","_"))</f>
        <v/>
      </c>
      <c r="I641" s="273"/>
    </row>
    <row r="642" spans="1:9">
      <c r="A642" s="55"/>
      <c r="B642" s="56"/>
      <c r="C642" s="56"/>
      <c r="D642" s="56"/>
      <c r="E642" s="57"/>
      <c r="F642" s="58"/>
      <c r="G642" s="56"/>
      <c r="H642" s="63" t="str">
        <f>IF(tbCartoes[[#This Row],[📂 Categoria]]="","",SUBSTITUTE(tbCartoes[[#This Row],[📂 Categoria]]," ","_"))</f>
        <v/>
      </c>
      <c r="I642" s="272"/>
    </row>
    <row r="643" spans="1:9">
      <c r="A643" s="59"/>
      <c r="B643" s="60"/>
      <c r="C643" s="60"/>
      <c r="D643" s="60"/>
      <c r="E643" s="61"/>
      <c r="F643" s="62"/>
      <c r="G643" s="60"/>
      <c r="H643" s="64" t="str">
        <f>IF(tbCartoes[[#This Row],[📂 Categoria]]="","",SUBSTITUTE(tbCartoes[[#This Row],[📂 Categoria]]," ","_"))</f>
        <v/>
      </c>
      <c r="I643" s="273"/>
    </row>
    <row r="644" spans="1:9">
      <c r="A644" s="55"/>
      <c r="B644" s="56"/>
      <c r="C644" s="56"/>
      <c r="D644" s="56"/>
      <c r="E644" s="57"/>
      <c r="F644" s="58"/>
      <c r="G644" s="56"/>
      <c r="H644" s="63" t="str">
        <f>IF(tbCartoes[[#This Row],[📂 Categoria]]="","",SUBSTITUTE(tbCartoes[[#This Row],[📂 Categoria]]," ","_"))</f>
        <v/>
      </c>
      <c r="I644" s="272"/>
    </row>
    <row r="645" spans="1:9">
      <c r="A645" s="59"/>
      <c r="B645" s="60"/>
      <c r="C645" s="60"/>
      <c r="D645" s="60"/>
      <c r="E645" s="61"/>
      <c r="F645" s="62"/>
      <c r="G645" s="60"/>
      <c r="H645" s="64" t="str">
        <f>IF(tbCartoes[[#This Row],[📂 Categoria]]="","",SUBSTITUTE(tbCartoes[[#This Row],[📂 Categoria]]," ","_"))</f>
        <v/>
      </c>
      <c r="I645" s="273"/>
    </row>
    <row r="646" spans="1:9">
      <c r="A646" s="55"/>
      <c r="B646" s="56"/>
      <c r="C646" s="56"/>
      <c r="D646" s="56"/>
      <c r="E646" s="57"/>
      <c r="F646" s="58"/>
      <c r="G646" s="56"/>
      <c r="H646" s="63" t="str">
        <f>IF(tbCartoes[[#This Row],[📂 Categoria]]="","",SUBSTITUTE(tbCartoes[[#This Row],[📂 Categoria]]," ","_"))</f>
        <v/>
      </c>
      <c r="I646" s="272"/>
    </row>
    <row r="647" spans="1:9">
      <c r="A647" s="59"/>
      <c r="B647" s="60"/>
      <c r="C647" s="60"/>
      <c r="D647" s="60"/>
      <c r="E647" s="61"/>
      <c r="F647" s="62"/>
      <c r="G647" s="60"/>
      <c r="H647" s="64" t="str">
        <f>IF(tbCartoes[[#This Row],[📂 Categoria]]="","",SUBSTITUTE(tbCartoes[[#This Row],[📂 Categoria]]," ","_"))</f>
        <v/>
      </c>
      <c r="I647" s="273"/>
    </row>
    <row r="648" spans="1:9">
      <c r="A648" s="55"/>
      <c r="B648" s="56"/>
      <c r="C648" s="56"/>
      <c r="D648" s="56"/>
      <c r="E648" s="57"/>
      <c r="F648" s="58"/>
      <c r="G648" s="56"/>
      <c r="H648" s="63" t="str">
        <f>IF(tbCartoes[[#This Row],[📂 Categoria]]="","",SUBSTITUTE(tbCartoes[[#This Row],[📂 Categoria]]," ","_"))</f>
        <v/>
      </c>
      <c r="I648" s="272"/>
    </row>
    <row r="649" spans="1:9">
      <c r="A649" s="59"/>
      <c r="B649" s="60"/>
      <c r="C649" s="60"/>
      <c r="D649" s="60"/>
      <c r="E649" s="61"/>
      <c r="F649" s="62"/>
      <c r="G649" s="60"/>
      <c r="H649" s="64" t="str">
        <f>IF(tbCartoes[[#This Row],[📂 Categoria]]="","",SUBSTITUTE(tbCartoes[[#This Row],[📂 Categoria]]," ","_"))</f>
        <v/>
      </c>
      <c r="I649" s="273"/>
    </row>
    <row r="650" spans="1:9">
      <c r="A650" s="55"/>
      <c r="B650" s="56"/>
      <c r="C650" s="56"/>
      <c r="D650" s="56"/>
      <c r="E650" s="57"/>
      <c r="F650" s="58"/>
      <c r="G650" s="56"/>
      <c r="H650" s="63" t="str">
        <f>IF(tbCartoes[[#This Row],[📂 Categoria]]="","",SUBSTITUTE(tbCartoes[[#This Row],[📂 Categoria]]," ","_"))</f>
        <v/>
      </c>
      <c r="I650" s="272"/>
    </row>
    <row r="651" spans="1:9">
      <c r="A651" s="59"/>
      <c r="B651" s="60"/>
      <c r="C651" s="60"/>
      <c r="D651" s="60"/>
      <c r="E651" s="61"/>
      <c r="F651" s="62"/>
      <c r="G651" s="60"/>
      <c r="H651" s="64" t="str">
        <f>IF(tbCartoes[[#This Row],[📂 Categoria]]="","",SUBSTITUTE(tbCartoes[[#This Row],[📂 Categoria]]," ","_"))</f>
        <v/>
      </c>
      <c r="I651" s="273"/>
    </row>
    <row r="652" spans="1:9">
      <c r="A652" s="55"/>
      <c r="B652" s="56"/>
      <c r="C652" s="56"/>
      <c r="D652" s="56"/>
      <c r="E652" s="57"/>
      <c r="F652" s="58"/>
      <c r="G652" s="56"/>
      <c r="H652" s="63" t="str">
        <f>IF(tbCartoes[[#This Row],[📂 Categoria]]="","",SUBSTITUTE(tbCartoes[[#This Row],[📂 Categoria]]," ","_"))</f>
        <v/>
      </c>
      <c r="I652" s="272"/>
    </row>
    <row r="653" spans="1:9">
      <c r="A653" s="59"/>
      <c r="B653" s="60"/>
      <c r="C653" s="60"/>
      <c r="D653" s="60"/>
      <c r="E653" s="61"/>
      <c r="F653" s="62"/>
      <c r="G653" s="60"/>
      <c r="H653" s="64" t="str">
        <f>IF(tbCartoes[[#This Row],[📂 Categoria]]="","",SUBSTITUTE(tbCartoes[[#This Row],[📂 Categoria]]," ","_"))</f>
        <v/>
      </c>
      <c r="I653" s="273"/>
    </row>
    <row r="654" spans="1:9">
      <c r="A654" s="55"/>
      <c r="B654" s="56"/>
      <c r="C654" s="56"/>
      <c r="D654" s="56"/>
      <c r="E654" s="57"/>
      <c r="F654" s="58"/>
      <c r="G654" s="56"/>
      <c r="H654" s="63" t="str">
        <f>IF(tbCartoes[[#This Row],[📂 Categoria]]="","",SUBSTITUTE(tbCartoes[[#This Row],[📂 Categoria]]," ","_"))</f>
        <v/>
      </c>
      <c r="I654" s="272"/>
    </row>
    <row r="655" spans="1:9">
      <c r="A655" s="59"/>
      <c r="B655" s="60"/>
      <c r="C655" s="60"/>
      <c r="D655" s="60"/>
      <c r="E655" s="61"/>
      <c r="F655" s="62"/>
      <c r="G655" s="60"/>
      <c r="H655" s="64" t="str">
        <f>IF(tbCartoes[[#This Row],[📂 Categoria]]="","",SUBSTITUTE(tbCartoes[[#This Row],[📂 Categoria]]," ","_"))</f>
        <v/>
      </c>
      <c r="I655" s="273"/>
    </row>
    <row r="656" spans="1:9">
      <c r="A656" s="55"/>
      <c r="B656" s="56"/>
      <c r="C656" s="56"/>
      <c r="D656" s="56"/>
      <c r="E656" s="57"/>
      <c r="F656" s="58"/>
      <c r="G656" s="56"/>
      <c r="H656" s="63" t="str">
        <f>IF(tbCartoes[[#This Row],[📂 Categoria]]="","",SUBSTITUTE(tbCartoes[[#This Row],[📂 Categoria]]," ","_"))</f>
        <v/>
      </c>
      <c r="I656" s="272"/>
    </row>
    <row r="657" spans="1:9">
      <c r="A657" s="59"/>
      <c r="B657" s="60"/>
      <c r="C657" s="60"/>
      <c r="D657" s="60"/>
      <c r="E657" s="61"/>
      <c r="F657" s="62"/>
      <c r="G657" s="60"/>
      <c r="H657" s="64" t="str">
        <f>IF(tbCartoes[[#This Row],[📂 Categoria]]="","",SUBSTITUTE(tbCartoes[[#This Row],[📂 Categoria]]," ","_"))</f>
        <v/>
      </c>
      <c r="I657" s="273"/>
    </row>
    <row r="658" spans="1:9">
      <c r="A658" s="55"/>
      <c r="B658" s="56"/>
      <c r="C658" s="56"/>
      <c r="D658" s="56"/>
      <c r="E658" s="57"/>
      <c r="F658" s="58"/>
      <c r="G658" s="56"/>
      <c r="H658" s="63" t="str">
        <f>IF(tbCartoes[[#This Row],[📂 Categoria]]="","",SUBSTITUTE(tbCartoes[[#This Row],[📂 Categoria]]," ","_"))</f>
        <v/>
      </c>
      <c r="I658" s="272"/>
    </row>
    <row r="659" spans="1:9">
      <c r="A659" s="59"/>
      <c r="B659" s="60"/>
      <c r="C659" s="60"/>
      <c r="D659" s="60"/>
      <c r="E659" s="61"/>
      <c r="F659" s="62"/>
      <c r="G659" s="60"/>
      <c r="H659" s="64" t="str">
        <f>IF(tbCartoes[[#This Row],[📂 Categoria]]="","",SUBSTITUTE(tbCartoes[[#This Row],[📂 Categoria]]," ","_"))</f>
        <v/>
      </c>
      <c r="I659" s="273"/>
    </row>
    <row r="660" spans="1:9">
      <c r="A660" s="55"/>
      <c r="B660" s="56"/>
      <c r="C660" s="56"/>
      <c r="D660" s="56"/>
      <c r="E660" s="57"/>
      <c r="F660" s="58"/>
      <c r="G660" s="56"/>
      <c r="H660" s="63" t="str">
        <f>IF(tbCartoes[[#This Row],[📂 Categoria]]="","",SUBSTITUTE(tbCartoes[[#This Row],[📂 Categoria]]," ","_"))</f>
        <v/>
      </c>
      <c r="I660" s="272"/>
    </row>
    <row r="661" spans="1:9">
      <c r="A661" s="59"/>
      <c r="B661" s="60"/>
      <c r="C661" s="60"/>
      <c r="D661" s="60"/>
      <c r="E661" s="61"/>
      <c r="F661" s="62"/>
      <c r="G661" s="60"/>
      <c r="H661" s="64" t="str">
        <f>IF(tbCartoes[[#This Row],[📂 Categoria]]="","",SUBSTITUTE(tbCartoes[[#This Row],[📂 Categoria]]," ","_"))</f>
        <v/>
      </c>
      <c r="I661" s="273"/>
    </row>
    <row r="662" spans="1:9">
      <c r="A662" s="55"/>
      <c r="B662" s="56"/>
      <c r="C662" s="56"/>
      <c r="D662" s="56"/>
      <c r="E662" s="57"/>
      <c r="F662" s="58"/>
      <c r="G662" s="56"/>
      <c r="H662" s="63" t="str">
        <f>IF(tbCartoes[[#This Row],[📂 Categoria]]="","",SUBSTITUTE(tbCartoes[[#This Row],[📂 Categoria]]," ","_"))</f>
        <v/>
      </c>
      <c r="I662" s="272"/>
    </row>
    <row r="663" spans="1:9">
      <c r="A663" s="59"/>
      <c r="B663" s="60"/>
      <c r="C663" s="60"/>
      <c r="D663" s="60"/>
      <c r="E663" s="61"/>
      <c r="F663" s="62"/>
      <c r="G663" s="60"/>
      <c r="H663" s="64" t="str">
        <f>IF(tbCartoes[[#This Row],[📂 Categoria]]="","",SUBSTITUTE(tbCartoes[[#This Row],[📂 Categoria]]," ","_"))</f>
        <v/>
      </c>
      <c r="I663" s="273"/>
    </row>
    <row r="664" spans="1:9">
      <c r="A664" s="55"/>
      <c r="B664" s="56"/>
      <c r="C664" s="56"/>
      <c r="D664" s="56"/>
      <c r="E664" s="57"/>
      <c r="F664" s="58"/>
      <c r="G664" s="56"/>
      <c r="H664" s="63" t="str">
        <f>IF(tbCartoes[[#This Row],[📂 Categoria]]="","",SUBSTITUTE(tbCartoes[[#This Row],[📂 Categoria]]," ","_"))</f>
        <v/>
      </c>
      <c r="I664" s="272"/>
    </row>
    <row r="665" spans="1:9">
      <c r="A665" s="59"/>
      <c r="B665" s="60"/>
      <c r="C665" s="60"/>
      <c r="D665" s="60"/>
      <c r="E665" s="61"/>
      <c r="F665" s="62"/>
      <c r="G665" s="60"/>
      <c r="H665" s="64" t="str">
        <f>IF(tbCartoes[[#This Row],[📂 Categoria]]="","",SUBSTITUTE(tbCartoes[[#This Row],[📂 Categoria]]," ","_"))</f>
        <v/>
      </c>
      <c r="I665" s="273"/>
    </row>
    <row r="666" spans="1:9">
      <c r="A666" s="55"/>
      <c r="B666" s="56"/>
      <c r="C666" s="56"/>
      <c r="D666" s="56"/>
      <c r="E666" s="57"/>
      <c r="F666" s="58"/>
      <c r="G666" s="56"/>
      <c r="H666" s="63" t="str">
        <f>IF(tbCartoes[[#This Row],[📂 Categoria]]="","",SUBSTITUTE(tbCartoes[[#This Row],[📂 Categoria]]," ","_"))</f>
        <v/>
      </c>
      <c r="I666" s="272"/>
    </row>
    <row r="667" spans="1:9">
      <c r="A667" s="59"/>
      <c r="B667" s="60"/>
      <c r="C667" s="60"/>
      <c r="D667" s="60"/>
      <c r="E667" s="61"/>
      <c r="F667" s="62"/>
      <c r="G667" s="60"/>
      <c r="H667" s="64" t="str">
        <f>IF(tbCartoes[[#This Row],[📂 Categoria]]="","",SUBSTITUTE(tbCartoes[[#This Row],[📂 Categoria]]," ","_"))</f>
        <v/>
      </c>
      <c r="I667" s="273"/>
    </row>
    <row r="668" spans="1:9">
      <c r="A668" s="55"/>
      <c r="B668" s="56"/>
      <c r="C668" s="56"/>
      <c r="D668" s="56"/>
      <c r="E668" s="57"/>
      <c r="F668" s="58"/>
      <c r="G668" s="56"/>
      <c r="H668" s="63" t="str">
        <f>IF(tbCartoes[[#This Row],[📂 Categoria]]="","",SUBSTITUTE(tbCartoes[[#This Row],[📂 Categoria]]," ","_"))</f>
        <v/>
      </c>
      <c r="I668" s="272"/>
    </row>
    <row r="669" spans="1:9">
      <c r="A669" s="59"/>
      <c r="B669" s="60"/>
      <c r="C669" s="60"/>
      <c r="D669" s="60"/>
      <c r="E669" s="61"/>
      <c r="F669" s="62"/>
      <c r="G669" s="60"/>
      <c r="H669" s="64" t="str">
        <f>IF(tbCartoes[[#This Row],[📂 Categoria]]="","",SUBSTITUTE(tbCartoes[[#This Row],[📂 Categoria]]," ","_"))</f>
        <v/>
      </c>
      <c r="I669" s="273"/>
    </row>
    <row r="670" spans="1:9">
      <c r="A670" s="55"/>
      <c r="B670" s="56"/>
      <c r="C670" s="56"/>
      <c r="D670" s="56"/>
      <c r="E670" s="57"/>
      <c r="F670" s="58"/>
      <c r="G670" s="56"/>
      <c r="H670" s="63" t="str">
        <f>IF(tbCartoes[[#This Row],[📂 Categoria]]="","",SUBSTITUTE(tbCartoes[[#This Row],[📂 Categoria]]," ","_"))</f>
        <v/>
      </c>
      <c r="I670" s="272"/>
    </row>
    <row r="671" spans="1:9">
      <c r="A671" s="59"/>
      <c r="B671" s="60"/>
      <c r="C671" s="60"/>
      <c r="D671" s="60"/>
      <c r="E671" s="61"/>
      <c r="F671" s="62"/>
      <c r="G671" s="60"/>
      <c r="H671" s="64" t="str">
        <f>IF(tbCartoes[[#This Row],[📂 Categoria]]="","",SUBSTITUTE(tbCartoes[[#This Row],[📂 Categoria]]," ","_"))</f>
        <v/>
      </c>
      <c r="I671" s="273"/>
    </row>
    <row r="672" spans="1:9">
      <c r="A672" s="55"/>
      <c r="B672" s="56"/>
      <c r="C672" s="56"/>
      <c r="D672" s="56"/>
      <c r="E672" s="57"/>
      <c r="F672" s="58"/>
      <c r="G672" s="56"/>
      <c r="H672" s="63" t="str">
        <f>IF(tbCartoes[[#This Row],[📂 Categoria]]="","",SUBSTITUTE(tbCartoes[[#This Row],[📂 Categoria]]," ","_"))</f>
        <v/>
      </c>
      <c r="I672" s="272"/>
    </row>
    <row r="673" spans="1:9">
      <c r="A673" s="59"/>
      <c r="B673" s="60"/>
      <c r="C673" s="60"/>
      <c r="D673" s="60"/>
      <c r="E673" s="61"/>
      <c r="F673" s="62"/>
      <c r="G673" s="60"/>
      <c r="H673" s="64" t="str">
        <f>IF(tbCartoes[[#This Row],[📂 Categoria]]="","",SUBSTITUTE(tbCartoes[[#This Row],[📂 Categoria]]," ","_"))</f>
        <v/>
      </c>
      <c r="I673" s="273"/>
    </row>
    <row r="674" spans="1:9">
      <c r="A674" s="55"/>
      <c r="B674" s="56"/>
      <c r="C674" s="56"/>
      <c r="D674" s="56"/>
      <c r="E674" s="57"/>
      <c r="F674" s="58"/>
      <c r="G674" s="56"/>
      <c r="H674" s="63" t="str">
        <f>IF(tbCartoes[[#This Row],[📂 Categoria]]="","",SUBSTITUTE(tbCartoes[[#This Row],[📂 Categoria]]," ","_"))</f>
        <v/>
      </c>
      <c r="I674" s="272"/>
    </row>
    <row r="675" spans="1:9">
      <c r="A675" s="59"/>
      <c r="B675" s="60"/>
      <c r="C675" s="60"/>
      <c r="D675" s="60"/>
      <c r="E675" s="61"/>
      <c r="F675" s="62"/>
      <c r="G675" s="60"/>
      <c r="H675" s="64" t="str">
        <f>IF(tbCartoes[[#This Row],[📂 Categoria]]="","",SUBSTITUTE(tbCartoes[[#This Row],[📂 Categoria]]," ","_"))</f>
        <v/>
      </c>
      <c r="I675" s="273"/>
    </row>
    <row r="676" spans="1:9">
      <c r="A676" s="55"/>
      <c r="B676" s="56"/>
      <c r="C676" s="56"/>
      <c r="D676" s="56"/>
      <c r="E676" s="57"/>
      <c r="F676" s="58"/>
      <c r="G676" s="56"/>
      <c r="H676" s="63" t="str">
        <f>IF(tbCartoes[[#This Row],[📂 Categoria]]="","",SUBSTITUTE(tbCartoes[[#This Row],[📂 Categoria]]," ","_"))</f>
        <v/>
      </c>
      <c r="I676" s="272"/>
    </row>
    <row r="677" spans="1:9">
      <c r="A677" s="59"/>
      <c r="B677" s="60"/>
      <c r="C677" s="60"/>
      <c r="D677" s="60"/>
      <c r="E677" s="61"/>
      <c r="F677" s="62"/>
      <c r="G677" s="60"/>
      <c r="H677" s="64" t="str">
        <f>IF(tbCartoes[[#This Row],[📂 Categoria]]="","",SUBSTITUTE(tbCartoes[[#This Row],[📂 Categoria]]," ","_"))</f>
        <v/>
      </c>
      <c r="I677" s="273"/>
    </row>
    <row r="678" spans="1:9">
      <c r="A678" s="55"/>
      <c r="B678" s="56"/>
      <c r="C678" s="56"/>
      <c r="D678" s="56"/>
      <c r="E678" s="57"/>
      <c r="F678" s="58"/>
      <c r="G678" s="56"/>
      <c r="H678" s="63" t="str">
        <f>IF(tbCartoes[[#This Row],[📂 Categoria]]="","",SUBSTITUTE(tbCartoes[[#This Row],[📂 Categoria]]," ","_"))</f>
        <v/>
      </c>
      <c r="I678" s="272"/>
    </row>
    <row r="679" spans="1:9">
      <c r="A679" s="59"/>
      <c r="B679" s="60"/>
      <c r="C679" s="60"/>
      <c r="D679" s="60"/>
      <c r="E679" s="61"/>
      <c r="F679" s="62"/>
      <c r="G679" s="60"/>
      <c r="H679" s="64" t="str">
        <f>IF(tbCartoes[[#This Row],[📂 Categoria]]="","",SUBSTITUTE(tbCartoes[[#This Row],[📂 Categoria]]," ","_"))</f>
        <v/>
      </c>
      <c r="I679" s="273"/>
    </row>
    <row r="680" spans="1:9">
      <c r="A680" s="55"/>
      <c r="B680" s="56"/>
      <c r="C680" s="56"/>
      <c r="D680" s="56"/>
      <c r="E680" s="57"/>
      <c r="F680" s="58"/>
      <c r="G680" s="56"/>
      <c r="H680" s="63" t="str">
        <f>IF(tbCartoes[[#This Row],[📂 Categoria]]="","",SUBSTITUTE(tbCartoes[[#This Row],[📂 Categoria]]," ","_"))</f>
        <v/>
      </c>
      <c r="I680" s="272"/>
    </row>
    <row r="681" spans="1:9">
      <c r="A681" s="59"/>
      <c r="B681" s="60"/>
      <c r="C681" s="60"/>
      <c r="D681" s="60"/>
      <c r="E681" s="61"/>
      <c r="F681" s="62"/>
      <c r="G681" s="60"/>
      <c r="H681" s="64" t="str">
        <f>IF(tbCartoes[[#This Row],[📂 Categoria]]="","",SUBSTITUTE(tbCartoes[[#This Row],[📂 Categoria]]," ","_"))</f>
        <v/>
      </c>
      <c r="I681" s="273"/>
    </row>
    <row r="682" spans="1:9">
      <c r="A682" s="55"/>
      <c r="B682" s="56"/>
      <c r="C682" s="56"/>
      <c r="D682" s="56"/>
      <c r="E682" s="57"/>
      <c r="F682" s="58"/>
      <c r="G682" s="56"/>
      <c r="H682" s="63" t="str">
        <f>IF(tbCartoes[[#This Row],[📂 Categoria]]="","",SUBSTITUTE(tbCartoes[[#This Row],[📂 Categoria]]," ","_"))</f>
        <v/>
      </c>
      <c r="I682" s="272"/>
    </row>
    <row r="683" spans="1:9">
      <c r="A683" s="59"/>
      <c r="B683" s="60"/>
      <c r="C683" s="60"/>
      <c r="D683" s="60"/>
      <c r="E683" s="61"/>
      <c r="F683" s="62"/>
      <c r="G683" s="60"/>
      <c r="H683" s="64" t="str">
        <f>IF(tbCartoes[[#This Row],[📂 Categoria]]="","",SUBSTITUTE(tbCartoes[[#This Row],[📂 Categoria]]," ","_"))</f>
        <v/>
      </c>
      <c r="I683" s="273"/>
    </row>
    <row r="684" spans="1:9">
      <c r="A684" s="55"/>
      <c r="B684" s="56"/>
      <c r="C684" s="56"/>
      <c r="D684" s="56"/>
      <c r="E684" s="57"/>
      <c r="F684" s="58"/>
      <c r="G684" s="56"/>
      <c r="H684" s="63" t="str">
        <f>IF(tbCartoes[[#This Row],[📂 Categoria]]="","",SUBSTITUTE(tbCartoes[[#This Row],[📂 Categoria]]," ","_"))</f>
        <v/>
      </c>
      <c r="I684" s="272"/>
    </row>
    <row r="685" spans="1:9">
      <c r="A685" s="59"/>
      <c r="B685" s="60"/>
      <c r="C685" s="60"/>
      <c r="D685" s="60"/>
      <c r="E685" s="61"/>
      <c r="F685" s="62"/>
      <c r="G685" s="60"/>
      <c r="H685" s="64" t="str">
        <f>IF(tbCartoes[[#This Row],[📂 Categoria]]="","",SUBSTITUTE(tbCartoes[[#This Row],[📂 Categoria]]," ","_"))</f>
        <v/>
      </c>
      <c r="I685" s="273"/>
    </row>
    <row r="686" spans="1:9">
      <c r="A686" s="55"/>
      <c r="B686" s="56"/>
      <c r="C686" s="56"/>
      <c r="D686" s="56"/>
      <c r="E686" s="57"/>
      <c r="F686" s="58"/>
      <c r="G686" s="56"/>
      <c r="H686" s="63" t="str">
        <f>IF(tbCartoes[[#This Row],[📂 Categoria]]="","",SUBSTITUTE(tbCartoes[[#This Row],[📂 Categoria]]," ","_"))</f>
        <v/>
      </c>
      <c r="I686" s="272"/>
    </row>
    <row r="687" spans="1:9">
      <c r="A687" s="59"/>
      <c r="B687" s="60"/>
      <c r="C687" s="60"/>
      <c r="D687" s="60"/>
      <c r="E687" s="61"/>
      <c r="F687" s="62"/>
      <c r="G687" s="60"/>
      <c r="H687" s="64" t="str">
        <f>IF(tbCartoes[[#This Row],[📂 Categoria]]="","",SUBSTITUTE(tbCartoes[[#This Row],[📂 Categoria]]," ","_"))</f>
        <v/>
      </c>
      <c r="I687" s="273"/>
    </row>
    <row r="688" spans="1:9">
      <c r="A688" s="55"/>
      <c r="B688" s="56"/>
      <c r="C688" s="56"/>
      <c r="D688" s="56"/>
      <c r="E688" s="57"/>
      <c r="F688" s="58"/>
      <c r="G688" s="56"/>
      <c r="H688" s="63" t="str">
        <f>IF(tbCartoes[[#This Row],[📂 Categoria]]="","",SUBSTITUTE(tbCartoes[[#This Row],[📂 Categoria]]," ","_"))</f>
        <v/>
      </c>
      <c r="I688" s="272"/>
    </row>
    <row r="689" spans="1:9">
      <c r="A689" s="59"/>
      <c r="B689" s="60"/>
      <c r="C689" s="60"/>
      <c r="D689" s="60"/>
      <c r="E689" s="61"/>
      <c r="F689" s="62"/>
      <c r="G689" s="60"/>
      <c r="H689" s="64" t="str">
        <f>IF(tbCartoes[[#This Row],[📂 Categoria]]="","",SUBSTITUTE(tbCartoes[[#This Row],[📂 Categoria]]," ","_"))</f>
        <v/>
      </c>
      <c r="I689" s="273"/>
    </row>
    <row r="690" spans="1:9">
      <c r="A690" s="55"/>
      <c r="B690" s="56"/>
      <c r="C690" s="56"/>
      <c r="D690" s="56"/>
      <c r="E690" s="57"/>
      <c r="F690" s="58"/>
      <c r="G690" s="56"/>
      <c r="H690" s="63" t="str">
        <f>IF(tbCartoes[[#This Row],[📂 Categoria]]="","",SUBSTITUTE(tbCartoes[[#This Row],[📂 Categoria]]," ","_"))</f>
        <v/>
      </c>
      <c r="I690" s="272"/>
    </row>
    <row r="691" spans="1:9">
      <c r="A691" s="59"/>
      <c r="B691" s="60"/>
      <c r="C691" s="60"/>
      <c r="D691" s="60"/>
      <c r="E691" s="61"/>
      <c r="F691" s="62"/>
      <c r="G691" s="60"/>
      <c r="H691" s="64" t="str">
        <f>IF(tbCartoes[[#This Row],[📂 Categoria]]="","",SUBSTITUTE(tbCartoes[[#This Row],[📂 Categoria]]," ","_"))</f>
        <v/>
      </c>
      <c r="I691" s="273"/>
    </row>
    <row r="692" spans="1:9">
      <c r="A692" s="55"/>
      <c r="B692" s="56"/>
      <c r="C692" s="56"/>
      <c r="D692" s="56"/>
      <c r="E692" s="57"/>
      <c r="F692" s="58"/>
      <c r="G692" s="56"/>
      <c r="H692" s="63" t="str">
        <f>IF(tbCartoes[[#This Row],[📂 Categoria]]="","",SUBSTITUTE(tbCartoes[[#This Row],[📂 Categoria]]," ","_"))</f>
        <v/>
      </c>
      <c r="I692" s="272"/>
    </row>
    <row r="693" spans="1:9">
      <c r="A693" s="59"/>
      <c r="B693" s="60"/>
      <c r="C693" s="60"/>
      <c r="D693" s="60"/>
      <c r="E693" s="61"/>
      <c r="F693" s="62"/>
      <c r="G693" s="60"/>
      <c r="H693" s="64" t="str">
        <f>IF(tbCartoes[[#This Row],[📂 Categoria]]="","",SUBSTITUTE(tbCartoes[[#This Row],[📂 Categoria]]," ","_"))</f>
        <v/>
      </c>
      <c r="I693" s="273"/>
    </row>
    <row r="694" spans="1:9">
      <c r="A694" s="55"/>
      <c r="B694" s="56"/>
      <c r="C694" s="56"/>
      <c r="D694" s="56"/>
      <c r="E694" s="57"/>
      <c r="F694" s="58"/>
      <c r="G694" s="56"/>
      <c r="H694" s="63" t="str">
        <f>IF(tbCartoes[[#This Row],[📂 Categoria]]="","",SUBSTITUTE(tbCartoes[[#This Row],[📂 Categoria]]," ","_"))</f>
        <v/>
      </c>
      <c r="I694" s="272"/>
    </row>
    <row r="695" spans="1:9">
      <c r="A695" s="59"/>
      <c r="B695" s="60"/>
      <c r="C695" s="60"/>
      <c r="D695" s="60"/>
      <c r="E695" s="61"/>
      <c r="F695" s="62"/>
      <c r="G695" s="60"/>
      <c r="H695" s="64" t="str">
        <f>IF(tbCartoes[[#This Row],[📂 Categoria]]="","",SUBSTITUTE(tbCartoes[[#This Row],[📂 Categoria]]," ","_"))</f>
        <v/>
      </c>
      <c r="I695" s="273"/>
    </row>
    <row r="696" spans="1:9">
      <c r="A696" s="55"/>
      <c r="B696" s="56"/>
      <c r="C696" s="56"/>
      <c r="D696" s="56"/>
      <c r="E696" s="57"/>
      <c r="F696" s="58"/>
      <c r="G696" s="56"/>
      <c r="H696" s="63" t="str">
        <f>IF(tbCartoes[[#This Row],[📂 Categoria]]="","",SUBSTITUTE(tbCartoes[[#This Row],[📂 Categoria]]," ","_"))</f>
        <v/>
      </c>
      <c r="I696" s="272"/>
    </row>
    <row r="697" spans="1:9">
      <c r="A697" s="59"/>
      <c r="B697" s="60"/>
      <c r="C697" s="60"/>
      <c r="D697" s="60"/>
      <c r="E697" s="61"/>
      <c r="F697" s="62"/>
      <c r="G697" s="60"/>
      <c r="H697" s="64" t="str">
        <f>IF(tbCartoes[[#This Row],[📂 Categoria]]="","",SUBSTITUTE(tbCartoes[[#This Row],[📂 Categoria]]," ","_"))</f>
        <v/>
      </c>
      <c r="I697" s="273"/>
    </row>
    <row r="698" spans="1:9">
      <c r="A698" s="55"/>
      <c r="B698" s="56"/>
      <c r="C698" s="56"/>
      <c r="D698" s="56"/>
      <c r="E698" s="57"/>
      <c r="F698" s="58"/>
      <c r="G698" s="56"/>
      <c r="H698" s="63" t="str">
        <f>IF(tbCartoes[[#This Row],[📂 Categoria]]="","",SUBSTITUTE(tbCartoes[[#This Row],[📂 Categoria]]," ","_"))</f>
        <v/>
      </c>
      <c r="I698" s="272"/>
    </row>
    <row r="699" spans="1:9">
      <c r="A699" s="59"/>
      <c r="B699" s="60"/>
      <c r="C699" s="60"/>
      <c r="D699" s="60"/>
      <c r="E699" s="61"/>
      <c r="F699" s="62"/>
      <c r="G699" s="60"/>
      <c r="H699" s="64" t="str">
        <f>IF(tbCartoes[[#This Row],[📂 Categoria]]="","",SUBSTITUTE(tbCartoes[[#This Row],[📂 Categoria]]," ","_"))</f>
        <v/>
      </c>
      <c r="I699" s="273"/>
    </row>
    <row r="700" spans="1:9">
      <c r="A700" s="55"/>
      <c r="B700" s="56"/>
      <c r="C700" s="56"/>
      <c r="D700" s="56"/>
      <c r="E700" s="57"/>
      <c r="F700" s="58"/>
      <c r="G700" s="56"/>
      <c r="H700" s="63" t="str">
        <f>IF(tbCartoes[[#This Row],[📂 Categoria]]="","",SUBSTITUTE(tbCartoes[[#This Row],[📂 Categoria]]," ","_"))</f>
        <v/>
      </c>
      <c r="I700" s="272"/>
    </row>
    <row r="701" spans="1:9">
      <c r="A701" s="59"/>
      <c r="B701" s="60"/>
      <c r="C701" s="60"/>
      <c r="D701" s="60"/>
      <c r="E701" s="61"/>
      <c r="F701" s="62"/>
      <c r="G701" s="60"/>
      <c r="H701" s="64" t="str">
        <f>IF(tbCartoes[[#This Row],[📂 Categoria]]="","",SUBSTITUTE(tbCartoes[[#This Row],[📂 Categoria]]," ","_"))</f>
        <v/>
      </c>
      <c r="I701" s="273"/>
    </row>
    <row r="702" spans="1:9">
      <c r="A702" s="55"/>
      <c r="B702" s="56"/>
      <c r="C702" s="56"/>
      <c r="D702" s="56"/>
      <c r="E702" s="57"/>
      <c r="F702" s="58"/>
      <c r="G702" s="56"/>
      <c r="H702" s="63" t="str">
        <f>IF(tbCartoes[[#This Row],[📂 Categoria]]="","",SUBSTITUTE(tbCartoes[[#This Row],[📂 Categoria]]," ","_"))</f>
        <v/>
      </c>
      <c r="I702" s="272"/>
    </row>
    <row r="703" spans="1:9">
      <c r="A703" s="59"/>
      <c r="B703" s="60"/>
      <c r="C703" s="60"/>
      <c r="D703" s="60"/>
      <c r="E703" s="61"/>
      <c r="F703" s="62"/>
      <c r="G703" s="60"/>
      <c r="H703" s="64" t="str">
        <f>IF(tbCartoes[[#This Row],[📂 Categoria]]="","",SUBSTITUTE(tbCartoes[[#This Row],[📂 Categoria]]," ","_"))</f>
        <v/>
      </c>
      <c r="I703" s="273"/>
    </row>
    <row r="704" spans="1:9">
      <c r="A704" s="55"/>
      <c r="B704" s="56"/>
      <c r="C704" s="56"/>
      <c r="D704" s="56"/>
      <c r="E704" s="57"/>
      <c r="F704" s="58"/>
      <c r="G704" s="56"/>
      <c r="H704" s="63" t="str">
        <f>IF(tbCartoes[[#This Row],[📂 Categoria]]="","",SUBSTITUTE(tbCartoes[[#This Row],[📂 Categoria]]," ","_"))</f>
        <v/>
      </c>
      <c r="I704" s="272"/>
    </row>
    <row r="705" spans="1:9">
      <c r="A705" s="59"/>
      <c r="B705" s="60"/>
      <c r="C705" s="60"/>
      <c r="D705" s="60"/>
      <c r="E705" s="61"/>
      <c r="F705" s="62"/>
      <c r="G705" s="60"/>
      <c r="H705" s="64" t="str">
        <f>IF(tbCartoes[[#This Row],[📂 Categoria]]="","",SUBSTITUTE(tbCartoes[[#This Row],[📂 Categoria]]," ","_"))</f>
        <v/>
      </c>
      <c r="I705" s="273"/>
    </row>
    <row r="706" spans="1:9">
      <c r="A706" s="55"/>
      <c r="B706" s="56"/>
      <c r="C706" s="56"/>
      <c r="D706" s="56"/>
      <c r="E706" s="57"/>
      <c r="F706" s="58"/>
      <c r="G706" s="56"/>
      <c r="H706" s="63" t="str">
        <f>IF(tbCartoes[[#This Row],[📂 Categoria]]="","",SUBSTITUTE(tbCartoes[[#This Row],[📂 Categoria]]," ","_"))</f>
        <v/>
      </c>
      <c r="I706" s="272"/>
    </row>
    <row r="707" spans="1:9">
      <c r="A707" s="59"/>
      <c r="B707" s="60"/>
      <c r="C707" s="60"/>
      <c r="D707" s="60"/>
      <c r="E707" s="61"/>
      <c r="F707" s="62"/>
      <c r="G707" s="60"/>
      <c r="H707" s="64" t="str">
        <f>IF(tbCartoes[[#This Row],[📂 Categoria]]="","",SUBSTITUTE(tbCartoes[[#This Row],[📂 Categoria]]," ","_"))</f>
        <v/>
      </c>
      <c r="I707" s="273"/>
    </row>
    <row r="708" spans="1:9">
      <c r="A708" s="55"/>
      <c r="B708" s="56"/>
      <c r="C708" s="56"/>
      <c r="D708" s="56"/>
      <c r="E708" s="57"/>
      <c r="F708" s="58"/>
      <c r="G708" s="56"/>
      <c r="H708" s="63" t="str">
        <f>IF(tbCartoes[[#This Row],[📂 Categoria]]="","",SUBSTITUTE(tbCartoes[[#This Row],[📂 Categoria]]," ","_"))</f>
        <v/>
      </c>
      <c r="I708" s="272"/>
    </row>
    <row r="709" spans="1:9">
      <c r="A709" s="59"/>
      <c r="B709" s="60"/>
      <c r="C709" s="60"/>
      <c r="D709" s="60"/>
      <c r="E709" s="61"/>
      <c r="F709" s="62"/>
      <c r="G709" s="60"/>
      <c r="H709" s="64" t="str">
        <f>IF(tbCartoes[[#This Row],[📂 Categoria]]="","",SUBSTITUTE(tbCartoes[[#This Row],[📂 Categoria]]," ","_"))</f>
        <v/>
      </c>
      <c r="I709" s="273"/>
    </row>
    <row r="710" spans="1:9">
      <c r="A710" s="55"/>
      <c r="B710" s="56"/>
      <c r="C710" s="56"/>
      <c r="D710" s="56"/>
      <c r="E710" s="57"/>
      <c r="F710" s="58"/>
      <c r="G710" s="56"/>
      <c r="H710" s="63" t="str">
        <f>IF(tbCartoes[[#This Row],[📂 Categoria]]="","",SUBSTITUTE(tbCartoes[[#This Row],[📂 Categoria]]," ","_"))</f>
        <v/>
      </c>
      <c r="I710" s="272"/>
    </row>
    <row r="711" spans="1:9">
      <c r="A711" s="59"/>
      <c r="B711" s="60"/>
      <c r="C711" s="60"/>
      <c r="D711" s="60"/>
      <c r="E711" s="61"/>
      <c r="F711" s="62"/>
      <c r="G711" s="60"/>
      <c r="H711" s="64" t="str">
        <f>IF(tbCartoes[[#This Row],[📂 Categoria]]="","",SUBSTITUTE(tbCartoes[[#This Row],[📂 Categoria]]," ","_"))</f>
        <v/>
      </c>
      <c r="I711" s="273"/>
    </row>
    <row r="712" spans="1:9">
      <c r="A712" s="55"/>
      <c r="B712" s="56"/>
      <c r="C712" s="56"/>
      <c r="D712" s="56"/>
      <c r="E712" s="57"/>
      <c r="F712" s="58"/>
      <c r="G712" s="56"/>
      <c r="H712" s="63" t="str">
        <f>IF(tbCartoes[[#This Row],[📂 Categoria]]="","",SUBSTITUTE(tbCartoes[[#This Row],[📂 Categoria]]," ","_"))</f>
        <v/>
      </c>
      <c r="I712" s="272"/>
    </row>
    <row r="713" spans="1:9">
      <c r="A713" s="59"/>
      <c r="B713" s="60"/>
      <c r="C713" s="60"/>
      <c r="D713" s="60"/>
      <c r="E713" s="61"/>
      <c r="F713" s="62"/>
      <c r="G713" s="60"/>
      <c r="H713" s="64" t="str">
        <f>IF(tbCartoes[[#This Row],[📂 Categoria]]="","",SUBSTITUTE(tbCartoes[[#This Row],[📂 Categoria]]," ","_"))</f>
        <v/>
      </c>
      <c r="I713" s="273"/>
    </row>
    <row r="714" spans="1:9">
      <c r="A714" s="55"/>
      <c r="B714" s="56"/>
      <c r="C714" s="56"/>
      <c r="D714" s="56"/>
      <c r="E714" s="57"/>
      <c r="F714" s="58"/>
      <c r="G714" s="56"/>
      <c r="H714" s="63" t="str">
        <f>IF(tbCartoes[[#This Row],[📂 Categoria]]="","",SUBSTITUTE(tbCartoes[[#This Row],[📂 Categoria]]," ","_"))</f>
        <v/>
      </c>
      <c r="I714" s="272"/>
    </row>
    <row r="715" spans="1:9">
      <c r="A715" s="59"/>
      <c r="B715" s="60"/>
      <c r="C715" s="60"/>
      <c r="D715" s="60"/>
      <c r="E715" s="61"/>
      <c r="F715" s="62"/>
      <c r="G715" s="60"/>
      <c r="H715" s="64" t="str">
        <f>IF(tbCartoes[[#This Row],[📂 Categoria]]="","",SUBSTITUTE(tbCartoes[[#This Row],[📂 Categoria]]," ","_"))</f>
        <v/>
      </c>
      <c r="I715" s="273"/>
    </row>
    <row r="716" spans="1:9">
      <c r="A716" s="55"/>
      <c r="B716" s="56"/>
      <c r="C716" s="56"/>
      <c r="D716" s="56"/>
      <c r="E716" s="57"/>
      <c r="F716" s="58"/>
      <c r="G716" s="56"/>
      <c r="H716" s="63" t="str">
        <f>IF(tbCartoes[[#This Row],[📂 Categoria]]="","",SUBSTITUTE(tbCartoes[[#This Row],[📂 Categoria]]," ","_"))</f>
        <v/>
      </c>
      <c r="I716" s="272"/>
    </row>
    <row r="717" spans="1:9">
      <c r="A717" s="59"/>
      <c r="B717" s="60"/>
      <c r="C717" s="60"/>
      <c r="D717" s="60"/>
      <c r="E717" s="61"/>
      <c r="F717" s="62"/>
      <c r="G717" s="60"/>
      <c r="H717" s="64" t="str">
        <f>IF(tbCartoes[[#This Row],[📂 Categoria]]="","",SUBSTITUTE(tbCartoes[[#This Row],[📂 Categoria]]," ","_"))</f>
        <v/>
      </c>
      <c r="I717" s="273"/>
    </row>
    <row r="718" spans="1:9">
      <c r="A718" s="55"/>
      <c r="B718" s="56"/>
      <c r="C718" s="56"/>
      <c r="D718" s="56"/>
      <c r="E718" s="57"/>
      <c r="F718" s="58"/>
      <c r="G718" s="56"/>
      <c r="H718" s="63" t="str">
        <f>IF(tbCartoes[[#This Row],[📂 Categoria]]="","",SUBSTITUTE(tbCartoes[[#This Row],[📂 Categoria]]," ","_"))</f>
        <v/>
      </c>
      <c r="I718" s="272"/>
    </row>
    <row r="719" spans="1:9">
      <c r="A719" s="59"/>
      <c r="B719" s="60"/>
      <c r="C719" s="60"/>
      <c r="D719" s="60"/>
      <c r="E719" s="61"/>
      <c r="F719" s="62"/>
      <c r="G719" s="60"/>
      <c r="H719" s="64" t="str">
        <f>IF(tbCartoes[[#This Row],[📂 Categoria]]="","",SUBSTITUTE(tbCartoes[[#This Row],[📂 Categoria]]," ","_"))</f>
        <v/>
      </c>
      <c r="I719" s="273"/>
    </row>
    <row r="720" spans="1:9">
      <c r="A720" s="55"/>
      <c r="B720" s="56"/>
      <c r="C720" s="56"/>
      <c r="D720" s="56"/>
      <c r="E720" s="57"/>
      <c r="F720" s="58"/>
      <c r="G720" s="56"/>
      <c r="H720" s="63" t="str">
        <f>IF(tbCartoes[[#This Row],[📂 Categoria]]="","",SUBSTITUTE(tbCartoes[[#This Row],[📂 Categoria]]," ","_"))</f>
        <v/>
      </c>
      <c r="I720" s="272"/>
    </row>
    <row r="721" spans="1:9">
      <c r="A721" s="59"/>
      <c r="B721" s="60"/>
      <c r="C721" s="60"/>
      <c r="D721" s="60"/>
      <c r="E721" s="61"/>
      <c r="F721" s="62"/>
      <c r="G721" s="60"/>
      <c r="H721" s="64" t="str">
        <f>IF(tbCartoes[[#This Row],[📂 Categoria]]="","",SUBSTITUTE(tbCartoes[[#This Row],[📂 Categoria]]," ","_"))</f>
        <v/>
      </c>
      <c r="I721" s="273"/>
    </row>
    <row r="722" spans="1:9">
      <c r="A722" s="55"/>
      <c r="B722" s="56"/>
      <c r="C722" s="56"/>
      <c r="D722" s="56"/>
      <c r="E722" s="57"/>
      <c r="F722" s="58"/>
      <c r="G722" s="56"/>
      <c r="H722" s="63" t="str">
        <f>IF(tbCartoes[[#This Row],[📂 Categoria]]="","",SUBSTITUTE(tbCartoes[[#This Row],[📂 Categoria]]," ","_"))</f>
        <v/>
      </c>
      <c r="I722" s="272"/>
    </row>
    <row r="723" spans="1:9">
      <c r="A723" s="59"/>
      <c r="B723" s="60"/>
      <c r="C723" s="60"/>
      <c r="D723" s="60"/>
      <c r="E723" s="61"/>
      <c r="F723" s="62"/>
      <c r="G723" s="60"/>
      <c r="H723" s="64" t="str">
        <f>IF(tbCartoes[[#This Row],[📂 Categoria]]="","",SUBSTITUTE(tbCartoes[[#This Row],[📂 Categoria]]," ","_"))</f>
        <v/>
      </c>
      <c r="I723" s="273"/>
    </row>
    <row r="724" spans="1:9">
      <c r="A724" s="55"/>
      <c r="B724" s="56"/>
      <c r="C724" s="56"/>
      <c r="D724" s="56"/>
      <c r="E724" s="57"/>
      <c r="F724" s="58"/>
      <c r="G724" s="56"/>
      <c r="H724" s="63" t="str">
        <f>IF(tbCartoes[[#This Row],[📂 Categoria]]="","",SUBSTITUTE(tbCartoes[[#This Row],[📂 Categoria]]," ","_"))</f>
        <v/>
      </c>
      <c r="I724" s="272"/>
    </row>
    <row r="725" spans="1:9">
      <c r="A725" s="59"/>
      <c r="B725" s="60"/>
      <c r="C725" s="60"/>
      <c r="D725" s="60"/>
      <c r="E725" s="61"/>
      <c r="F725" s="62"/>
      <c r="G725" s="60"/>
      <c r="H725" s="64" t="str">
        <f>IF(tbCartoes[[#This Row],[📂 Categoria]]="","",SUBSTITUTE(tbCartoes[[#This Row],[📂 Categoria]]," ","_"))</f>
        <v/>
      </c>
      <c r="I725" s="273"/>
    </row>
    <row r="726" spans="1:9">
      <c r="A726" s="55"/>
      <c r="B726" s="56"/>
      <c r="C726" s="56"/>
      <c r="D726" s="56"/>
      <c r="E726" s="57"/>
      <c r="F726" s="58"/>
      <c r="G726" s="56"/>
      <c r="H726" s="63" t="str">
        <f>IF(tbCartoes[[#This Row],[📂 Categoria]]="","",SUBSTITUTE(tbCartoes[[#This Row],[📂 Categoria]]," ","_"))</f>
        <v/>
      </c>
      <c r="I726" s="272"/>
    </row>
    <row r="727" spans="1:9">
      <c r="A727" s="59"/>
      <c r="B727" s="60"/>
      <c r="C727" s="60"/>
      <c r="D727" s="60"/>
      <c r="E727" s="61"/>
      <c r="F727" s="62"/>
      <c r="G727" s="60"/>
      <c r="H727" s="64" t="str">
        <f>IF(tbCartoes[[#This Row],[📂 Categoria]]="","",SUBSTITUTE(tbCartoes[[#This Row],[📂 Categoria]]," ","_"))</f>
        <v/>
      </c>
      <c r="I727" s="273"/>
    </row>
    <row r="728" spans="1:9">
      <c r="A728" s="55"/>
      <c r="B728" s="56"/>
      <c r="C728" s="56"/>
      <c r="D728" s="56"/>
      <c r="E728" s="57"/>
      <c r="F728" s="58"/>
      <c r="G728" s="56"/>
      <c r="H728" s="63" t="str">
        <f>IF(tbCartoes[[#This Row],[📂 Categoria]]="","",SUBSTITUTE(tbCartoes[[#This Row],[📂 Categoria]]," ","_"))</f>
        <v/>
      </c>
      <c r="I728" s="272"/>
    </row>
    <row r="729" spans="1:9">
      <c r="A729" s="59"/>
      <c r="B729" s="60"/>
      <c r="C729" s="60"/>
      <c r="D729" s="60"/>
      <c r="E729" s="61"/>
      <c r="F729" s="62"/>
      <c r="G729" s="60"/>
      <c r="H729" s="64" t="str">
        <f>IF(tbCartoes[[#This Row],[📂 Categoria]]="","",SUBSTITUTE(tbCartoes[[#This Row],[📂 Categoria]]," ","_"))</f>
        <v/>
      </c>
      <c r="I729" s="273"/>
    </row>
    <row r="730" spans="1:9">
      <c r="A730" s="55"/>
      <c r="B730" s="56"/>
      <c r="C730" s="56"/>
      <c r="D730" s="56"/>
      <c r="E730" s="57"/>
      <c r="F730" s="58"/>
      <c r="G730" s="56"/>
      <c r="H730" s="63" t="str">
        <f>IF(tbCartoes[[#This Row],[📂 Categoria]]="","",SUBSTITUTE(tbCartoes[[#This Row],[📂 Categoria]]," ","_"))</f>
        <v/>
      </c>
      <c r="I730" s="272"/>
    </row>
    <row r="731" spans="1:9">
      <c r="A731" s="59"/>
      <c r="B731" s="60"/>
      <c r="C731" s="60"/>
      <c r="D731" s="60"/>
      <c r="E731" s="61"/>
      <c r="F731" s="62"/>
      <c r="G731" s="60"/>
      <c r="H731" s="64" t="str">
        <f>IF(tbCartoes[[#This Row],[📂 Categoria]]="","",SUBSTITUTE(tbCartoes[[#This Row],[📂 Categoria]]," ","_"))</f>
        <v/>
      </c>
      <c r="I731" s="273"/>
    </row>
    <row r="732" spans="1:9">
      <c r="A732" s="55"/>
      <c r="B732" s="56"/>
      <c r="C732" s="56"/>
      <c r="D732" s="56"/>
      <c r="E732" s="57"/>
      <c r="F732" s="58"/>
      <c r="G732" s="56"/>
      <c r="H732" s="63" t="str">
        <f>IF(tbCartoes[[#This Row],[📂 Categoria]]="","",SUBSTITUTE(tbCartoes[[#This Row],[📂 Categoria]]," ","_"))</f>
        <v/>
      </c>
      <c r="I732" s="272"/>
    </row>
    <row r="733" spans="1:9">
      <c r="A733" s="59"/>
      <c r="B733" s="60"/>
      <c r="C733" s="60"/>
      <c r="D733" s="60"/>
      <c r="E733" s="61"/>
      <c r="F733" s="62"/>
      <c r="G733" s="60"/>
      <c r="H733" s="64" t="str">
        <f>IF(tbCartoes[[#This Row],[📂 Categoria]]="","",SUBSTITUTE(tbCartoes[[#This Row],[📂 Categoria]]," ","_"))</f>
        <v/>
      </c>
      <c r="I733" s="273"/>
    </row>
    <row r="734" spans="1:9">
      <c r="A734" s="55"/>
      <c r="B734" s="56"/>
      <c r="C734" s="56"/>
      <c r="D734" s="56"/>
      <c r="E734" s="57"/>
      <c r="F734" s="58"/>
      <c r="G734" s="56"/>
      <c r="H734" s="63" t="str">
        <f>IF(tbCartoes[[#This Row],[📂 Categoria]]="","",SUBSTITUTE(tbCartoes[[#This Row],[📂 Categoria]]," ","_"))</f>
        <v/>
      </c>
      <c r="I734" s="272"/>
    </row>
    <row r="735" spans="1:9">
      <c r="A735" s="59"/>
      <c r="B735" s="60"/>
      <c r="C735" s="60"/>
      <c r="D735" s="60"/>
      <c r="E735" s="61"/>
      <c r="F735" s="62"/>
      <c r="G735" s="60"/>
      <c r="H735" s="64" t="str">
        <f>IF(tbCartoes[[#This Row],[📂 Categoria]]="","",SUBSTITUTE(tbCartoes[[#This Row],[📂 Categoria]]," ","_"))</f>
        <v/>
      </c>
      <c r="I735" s="273"/>
    </row>
    <row r="736" spans="1:9">
      <c r="A736" s="55"/>
      <c r="B736" s="56"/>
      <c r="C736" s="56"/>
      <c r="D736" s="56"/>
      <c r="E736" s="57"/>
      <c r="F736" s="58"/>
      <c r="G736" s="56"/>
      <c r="H736" s="63" t="str">
        <f>IF(tbCartoes[[#This Row],[📂 Categoria]]="","",SUBSTITUTE(tbCartoes[[#This Row],[📂 Categoria]]," ","_"))</f>
        <v/>
      </c>
      <c r="I736" s="272"/>
    </row>
    <row r="737" spans="1:9">
      <c r="A737" s="59"/>
      <c r="B737" s="60"/>
      <c r="C737" s="60"/>
      <c r="D737" s="60"/>
      <c r="E737" s="61"/>
      <c r="F737" s="62"/>
      <c r="G737" s="60"/>
      <c r="H737" s="64" t="str">
        <f>IF(tbCartoes[[#This Row],[📂 Categoria]]="","",SUBSTITUTE(tbCartoes[[#This Row],[📂 Categoria]]," ","_"))</f>
        <v/>
      </c>
      <c r="I737" s="273"/>
    </row>
    <row r="738" spans="1:9">
      <c r="A738" s="55"/>
      <c r="B738" s="56"/>
      <c r="C738" s="56"/>
      <c r="D738" s="56"/>
      <c r="E738" s="57"/>
      <c r="F738" s="58"/>
      <c r="G738" s="56"/>
      <c r="H738" s="63" t="str">
        <f>IF(tbCartoes[[#This Row],[📂 Categoria]]="","",SUBSTITUTE(tbCartoes[[#This Row],[📂 Categoria]]," ","_"))</f>
        <v/>
      </c>
      <c r="I738" s="272"/>
    </row>
    <row r="739" spans="1:9">
      <c r="A739" s="59"/>
      <c r="B739" s="60"/>
      <c r="C739" s="60"/>
      <c r="D739" s="60"/>
      <c r="E739" s="61"/>
      <c r="F739" s="62"/>
      <c r="G739" s="60"/>
      <c r="H739" s="64" t="str">
        <f>IF(tbCartoes[[#This Row],[📂 Categoria]]="","",SUBSTITUTE(tbCartoes[[#This Row],[📂 Categoria]]," ","_"))</f>
        <v/>
      </c>
      <c r="I739" s="273"/>
    </row>
    <row r="740" spans="1:9">
      <c r="A740" s="55"/>
      <c r="B740" s="56"/>
      <c r="C740" s="56"/>
      <c r="D740" s="56"/>
      <c r="E740" s="57"/>
      <c r="F740" s="58"/>
      <c r="G740" s="56"/>
      <c r="H740" s="63" t="str">
        <f>IF(tbCartoes[[#This Row],[📂 Categoria]]="","",SUBSTITUTE(tbCartoes[[#This Row],[📂 Categoria]]," ","_"))</f>
        <v/>
      </c>
      <c r="I740" s="272"/>
    </row>
    <row r="741" spans="1:9">
      <c r="A741" s="59"/>
      <c r="B741" s="60"/>
      <c r="C741" s="60"/>
      <c r="D741" s="60"/>
      <c r="E741" s="61"/>
      <c r="F741" s="62"/>
      <c r="G741" s="60"/>
      <c r="H741" s="64" t="str">
        <f>IF(tbCartoes[[#This Row],[📂 Categoria]]="","",SUBSTITUTE(tbCartoes[[#This Row],[📂 Categoria]]," ","_"))</f>
        <v/>
      </c>
      <c r="I741" s="273"/>
    </row>
    <row r="742" spans="1:9">
      <c r="A742" s="55"/>
      <c r="B742" s="56"/>
      <c r="C742" s="56"/>
      <c r="D742" s="56"/>
      <c r="E742" s="57"/>
      <c r="F742" s="58"/>
      <c r="G742" s="56"/>
      <c r="H742" s="63" t="str">
        <f>IF(tbCartoes[[#This Row],[📂 Categoria]]="","",SUBSTITUTE(tbCartoes[[#This Row],[📂 Categoria]]," ","_"))</f>
        <v/>
      </c>
      <c r="I742" s="272"/>
    </row>
    <row r="743" spans="1:9">
      <c r="A743" s="59"/>
      <c r="B743" s="60"/>
      <c r="C743" s="60"/>
      <c r="D743" s="60"/>
      <c r="E743" s="61"/>
      <c r="F743" s="62"/>
      <c r="G743" s="60"/>
      <c r="H743" s="64" t="str">
        <f>IF(tbCartoes[[#This Row],[📂 Categoria]]="","",SUBSTITUTE(tbCartoes[[#This Row],[📂 Categoria]]," ","_"))</f>
        <v/>
      </c>
      <c r="I743" s="273"/>
    </row>
    <row r="744" spans="1:9">
      <c r="A744" s="55"/>
      <c r="B744" s="56"/>
      <c r="C744" s="56"/>
      <c r="D744" s="56"/>
      <c r="E744" s="57"/>
      <c r="F744" s="58"/>
      <c r="G744" s="56"/>
      <c r="H744" s="63" t="str">
        <f>IF(tbCartoes[[#This Row],[📂 Categoria]]="","",SUBSTITUTE(tbCartoes[[#This Row],[📂 Categoria]]," ","_"))</f>
        <v/>
      </c>
      <c r="I744" s="272"/>
    </row>
    <row r="745" spans="1:9">
      <c r="A745" s="59"/>
      <c r="B745" s="60"/>
      <c r="C745" s="60"/>
      <c r="D745" s="60"/>
      <c r="E745" s="61"/>
      <c r="F745" s="62"/>
      <c r="G745" s="60"/>
      <c r="H745" s="64" t="str">
        <f>IF(tbCartoes[[#This Row],[📂 Categoria]]="","",SUBSTITUTE(tbCartoes[[#This Row],[📂 Categoria]]," ","_"))</f>
        <v/>
      </c>
      <c r="I745" s="273"/>
    </row>
    <row r="746" spans="1:9">
      <c r="A746" s="55"/>
      <c r="B746" s="56"/>
      <c r="C746" s="56"/>
      <c r="D746" s="56"/>
      <c r="E746" s="57"/>
      <c r="F746" s="58"/>
      <c r="G746" s="56"/>
      <c r="H746" s="63" t="str">
        <f>IF(tbCartoes[[#This Row],[📂 Categoria]]="","",SUBSTITUTE(tbCartoes[[#This Row],[📂 Categoria]]," ","_"))</f>
        <v/>
      </c>
      <c r="I746" s="272"/>
    </row>
    <row r="747" spans="1:9">
      <c r="A747" s="59"/>
      <c r="B747" s="60"/>
      <c r="C747" s="60"/>
      <c r="D747" s="60"/>
      <c r="E747" s="61"/>
      <c r="F747" s="62"/>
      <c r="G747" s="60"/>
      <c r="H747" s="64" t="str">
        <f>IF(tbCartoes[[#This Row],[📂 Categoria]]="","",SUBSTITUTE(tbCartoes[[#This Row],[📂 Categoria]]," ","_"))</f>
        <v/>
      </c>
      <c r="I747" s="273"/>
    </row>
    <row r="748" spans="1:9">
      <c r="A748" s="55"/>
      <c r="B748" s="56"/>
      <c r="C748" s="56"/>
      <c r="D748" s="56"/>
      <c r="E748" s="57"/>
      <c r="F748" s="58"/>
      <c r="G748" s="56"/>
      <c r="H748" s="63" t="str">
        <f>IF(tbCartoes[[#This Row],[📂 Categoria]]="","",SUBSTITUTE(tbCartoes[[#This Row],[📂 Categoria]]," ","_"))</f>
        <v/>
      </c>
      <c r="I748" s="272"/>
    </row>
    <row r="749" spans="1:9">
      <c r="A749" s="59"/>
      <c r="B749" s="60"/>
      <c r="C749" s="60"/>
      <c r="D749" s="60"/>
      <c r="E749" s="61"/>
      <c r="F749" s="62"/>
      <c r="G749" s="60"/>
      <c r="H749" s="64" t="str">
        <f>IF(tbCartoes[[#This Row],[📂 Categoria]]="","",SUBSTITUTE(tbCartoes[[#This Row],[📂 Categoria]]," ","_"))</f>
        <v/>
      </c>
      <c r="I749" s="273"/>
    </row>
    <row r="750" spans="1:9">
      <c r="A750" s="55"/>
      <c r="B750" s="56"/>
      <c r="C750" s="56"/>
      <c r="D750" s="56"/>
      <c r="E750" s="57"/>
      <c r="F750" s="58"/>
      <c r="G750" s="56"/>
      <c r="H750" s="63" t="str">
        <f>IF(tbCartoes[[#This Row],[📂 Categoria]]="","",SUBSTITUTE(tbCartoes[[#This Row],[📂 Categoria]]," ","_"))</f>
        <v/>
      </c>
      <c r="I750" s="272"/>
    </row>
    <row r="751" spans="1:9">
      <c r="A751" s="59"/>
      <c r="B751" s="60"/>
      <c r="C751" s="60"/>
      <c r="D751" s="60"/>
      <c r="E751" s="61"/>
      <c r="F751" s="62"/>
      <c r="G751" s="60"/>
      <c r="H751" s="64" t="str">
        <f>IF(tbCartoes[[#This Row],[📂 Categoria]]="","",SUBSTITUTE(tbCartoes[[#This Row],[📂 Categoria]]," ","_"))</f>
        <v/>
      </c>
      <c r="I751" s="273"/>
    </row>
    <row r="752" spans="1:9">
      <c r="A752" s="55"/>
      <c r="B752" s="56"/>
      <c r="C752" s="56"/>
      <c r="D752" s="56"/>
      <c r="E752" s="57"/>
      <c r="F752" s="58"/>
      <c r="G752" s="56"/>
      <c r="H752" s="63" t="str">
        <f>IF(tbCartoes[[#This Row],[📂 Categoria]]="","",SUBSTITUTE(tbCartoes[[#This Row],[📂 Categoria]]," ","_"))</f>
        <v/>
      </c>
      <c r="I752" s="272"/>
    </row>
    <row r="753" spans="1:9">
      <c r="A753" s="59"/>
      <c r="B753" s="60"/>
      <c r="C753" s="60"/>
      <c r="D753" s="60"/>
      <c r="E753" s="61"/>
      <c r="F753" s="62"/>
      <c r="G753" s="60"/>
      <c r="H753" s="64" t="str">
        <f>IF(tbCartoes[[#This Row],[📂 Categoria]]="","",SUBSTITUTE(tbCartoes[[#This Row],[📂 Categoria]]," ","_"))</f>
        <v/>
      </c>
      <c r="I753" s="273"/>
    </row>
    <row r="754" spans="1:9">
      <c r="A754" s="55"/>
      <c r="B754" s="56"/>
      <c r="C754" s="56"/>
      <c r="D754" s="56"/>
      <c r="E754" s="57"/>
      <c r="F754" s="58"/>
      <c r="G754" s="56"/>
      <c r="H754" s="63" t="str">
        <f>IF(tbCartoes[[#This Row],[📂 Categoria]]="","",SUBSTITUTE(tbCartoes[[#This Row],[📂 Categoria]]," ","_"))</f>
        <v/>
      </c>
      <c r="I754" s="272"/>
    </row>
    <row r="755" spans="1:9">
      <c r="A755" s="59"/>
      <c r="B755" s="60"/>
      <c r="C755" s="60"/>
      <c r="D755" s="60"/>
      <c r="E755" s="61"/>
      <c r="F755" s="62"/>
      <c r="G755" s="60"/>
      <c r="H755" s="64" t="str">
        <f>IF(tbCartoes[[#This Row],[📂 Categoria]]="","",SUBSTITUTE(tbCartoes[[#This Row],[📂 Categoria]]," ","_"))</f>
        <v/>
      </c>
      <c r="I755" s="273"/>
    </row>
    <row r="756" spans="1:9">
      <c r="A756" s="55"/>
      <c r="B756" s="56"/>
      <c r="C756" s="56"/>
      <c r="D756" s="56"/>
      <c r="E756" s="57"/>
      <c r="F756" s="58"/>
      <c r="G756" s="56"/>
      <c r="H756" s="63" t="str">
        <f>IF(tbCartoes[[#This Row],[📂 Categoria]]="","",SUBSTITUTE(tbCartoes[[#This Row],[📂 Categoria]]," ","_"))</f>
        <v/>
      </c>
      <c r="I756" s="272"/>
    </row>
    <row r="757" spans="1:9">
      <c r="A757" s="59"/>
      <c r="B757" s="60"/>
      <c r="C757" s="60"/>
      <c r="D757" s="60"/>
      <c r="E757" s="61"/>
      <c r="F757" s="62"/>
      <c r="G757" s="60"/>
      <c r="H757" s="64" t="str">
        <f>IF(tbCartoes[[#This Row],[📂 Categoria]]="","",SUBSTITUTE(tbCartoes[[#This Row],[📂 Categoria]]," ","_"))</f>
        <v/>
      </c>
      <c r="I757" s="273"/>
    </row>
    <row r="758" spans="1:9">
      <c r="A758" s="55"/>
      <c r="B758" s="56"/>
      <c r="C758" s="56"/>
      <c r="D758" s="56"/>
      <c r="E758" s="57"/>
      <c r="F758" s="58"/>
      <c r="G758" s="56"/>
      <c r="H758" s="63" t="str">
        <f>IF(tbCartoes[[#This Row],[📂 Categoria]]="","",SUBSTITUTE(tbCartoes[[#This Row],[📂 Categoria]]," ","_"))</f>
        <v/>
      </c>
      <c r="I758" s="272"/>
    </row>
    <row r="759" spans="1:9">
      <c r="A759" s="59"/>
      <c r="B759" s="60"/>
      <c r="C759" s="60"/>
      <c r="D759" s="60"/>
      <c r="E759" s="61"/>
      <c r="F759" s="62"/>
      <c r="G759" s="60"/>
      <c r="H759" s="64" t="str">
        <f>IF(tbCartoes[[#This Row],[📂 Categoria]]="","",SUBSTITUTE(tbCartoes[[#This Row],[📂 Categoria]]," ","_"))</f>
        <v/>
      </c>
      <c r="I759" s="273"/>
    </row>
    <row r="760" spans="1:9">
      <c r="A760" s="55"/>
      <c r="B760" s="56"/>
      <c r="C760" s="56"/>
      <c r="D760" s="56"/>
      <c r="E760" s="57"/>
      <c r="F760" s="58"/>
      <c r="G760" s="56"/>
      <c r="H760" s="63" t="str">
        <f>IF(tbCartoes[[#This Row],[📂 Categoria]]="","",SUBSTITUTE(tbCartoes[[#This Row],[📂 Categoria]]," ","_"))</f>
        <v/>
      </c>
      <c r="I760" s="272"/>
    </row>
    <row r="761" spans="1:9">
      <c r="A761" s="59"/>
      <c r="B761" s="60"/>
      <c r="C761" s="60"/>
      <c r="D761" s="60"/>
      <c r="E761" s="61"/>
      <c r="F761" s="62"/>
      <c r="G761" s="60"/>
      <c r="H761" s="64" t="str">
        <f>IF(tbCartoes[[#This Row],[📂 Categoria]]="","",SUBSTITUTE(tbCartoes[[#This Row],[📂 Categoria]]," ","_"))</f>
        <v/>
      </c>
      <c r="I761" s="273"/>
    </row>
    <row r="762" spans="1:9">
      <c r="A762" s="55"/>
      <c r="B762" s="56"/>
      <c r="C762" s="56"/>
      <c r="D762" s="56"/>
      <c r="E762" s="57"/>
      <c r="F762" s="58"/>
      <c r="G762" s="56"/>
      <c r="H762" s="63" t="str">
        <f>IF(tbCartoes[[#This Row],[📂 Categoria]]="","",SUBSTITUTE(tbCartoes[[#This Row],[📂 Categoria]]," ","_"))</f>
        <v/>
      </c>
      <c r="I762" s="272"/>
    </row>
    <row r="763" spans="1:9">
      <c r="A763" s="59"/>
      <c r="B763" s="60"/>
      <c r="C763" s="60"/>
      <c r="D763" s="60"/>
      <c r="E763" s="61"/>
      <c r="F763" s="62"/>
      <c r="G763" s="60"/>
      <c r="H763" s="64" t="str">
        <f>IF(tbCartoes[[#This Row],[📂 Categoria]]="","",SUBSTITUTE(tbCartoes[[#This Row],[📂 Categoria]]," ","_"))</f>
        <v/>
      </c>
      <c r="I763" s="273"/>
    </row>
    <row r="764" spans="1:9">
      <c r="A764" s="55"/>
      <c r="B764" s="56"/>
      <c r="C764" s="56"/>
      <c r="D764" s="56"/>
      <c r="E764" s="57"/>
      <c r="F764" s="58"/>
      <c r="G764" s="56"/>
      <c r="H764" s="63" t="str">
        <f>IF(tbCartoes[[#This Row],[📂 Categoria]]="","",SUBSTITUTE(tbCartoes[[#This Row],[📂 Categoria]]," ","_"))</f>
        <v/>
      </c>
      <c r="I764" s="272"/>
    </row>
    <row r="765" spans="1:9">
      <c r="A765" s="59"/>
      <c r="B765" s="60"/>
      <c r="C765" s="60"/>
      <c r="D765" s="60"/>
      <c r="E765" s="61"/>
      <c r="F765" s="62"/>
      <c r="G765" s="60"/>
      <c r="H765" s="64" t="str">
        <f>IF(tbCartoes[[#This Row],[📂 Categoria]]="","",SUBSTITUTE(tbCartoes[[#This Row],[📂 Categoria]]," ","_"))</f>
        <v/>
      </c>
      <c r="I765" s="273"/>
    </row>
    <row r="766" spans="1:9">
      <c r="A766" s="55"/>
      <c r="B766" s="56"/>
      <c r="C766" s="56"/>
      <c r="D766" s="56"/>
      <c r="E766" s="57"/>
      <c r="F766" s="58"/>
      <c r="G766" s="56"/>
      <c r="H766" s="63" t="str">
        <f>IF(tbCartoes[[#This Row],[📂 Categoria]]="","",SUBSTITUTE(tbCartoes[[#This Row],[📂 Categoria]]," ","_"))</f>
        <v/>
      </c>
      <c r="I766" s="272"/>
    </row>
    <row r="767" spans="1:9">
      <c r="A767" s="59"/>
      <c r="B767" s="60"/>
      <c r="C767" s="60"/>
      <c r="D767" s="60"/>
      <c r="E767" s="61"/>
      <c r="F767" s="62"/>
      <c r="G767" s="60"/>
      <c r="H767" s="64" t="str">
        <f>IF(tbCartoes[[#This Row],[📂 Categoria]]="","",SUBSTITUTE(tbCartoes[[#This Row],[📂 Categoria]]," ","_"))</f>
        <v/>
      </c>
      <c r="I767" s="273"/>
    </row>
    <row r="768" spans="1:9">
      <c r="A768" s="55"/>
      <c r="B768" s="56"/>
      <c r="C768" s="56"/>
      <c r="D768" s="56"/>
      <c r="E768" s="57"/>
      <c r="F768" s="58"/>
      <c r="G768" s="56"/>
      <c r="H768" s="63" t="str">
        <f>IF(tbCartoes[[#This Row],[📂 Categoria]]="","",SUBSTITUTE(tbCartoes[[#This Row],[📂 Categoria]]," ","_"))</f>
        <v/>
      </c>
      <c r="I768" s="272"/>
    </row>
    <row r="769" spans="1:9">
      <c r="A769" s="59"/>
      <c r="B769" s="60"/>
      <c r="C769" s="60"/>
      <c r="D769" s="60"/>
      <c r="E769" s="61"/>
      <c r="F769" s="62"/>
      <c r="G769" s="60"/>
      <c r="H769" s="64" t="str">
        <f>IF(tbCartoes[[#This Row],[📂 Categoria]]="","",SUBSTITUTE(tbCartoes[[#This Row],[📂 Categoria]]," ","_"))</f>
        <v/>
      </c>
      <c r="I769" s="273"/>
    </row>
    <row r="770" spans="1:9">
      <c r="A770" s="55"/>
      <c r="B770" s="56"/>
      <c r="C770" s="56"/>
      <c r="D770" s="56"/>
      <c r="E770" s="57"/>
      <c r="F770" s="58"/>
      <c r="G770" s="56"/>
      <c r="H770" s="63" t="str">
        <f>IF(tbCartoes[[#This Row],[📂 Categoria]]="","",SUBSTITUTE(tbCartoes[[#This Row],[📂 Categoria]]," ","_"))</f>
        <v/>
      </c>
      <c r="I770" s="272"/>
    </row>
    <row r="771" spans="1:9">
      <c r="A771" s="59"/>
      <c r="B771" s="60"/>
      <c r="C771" s="60"/>
      <c r="D771" s="60"/>
      <c r="E771" s="61"/>
      <c r="F771" s="62"/>
      <c r="G771" s="60"/>
      <c r="H771" s="64" t="str">
        <f>IF(tbCartoes[[#This Row],[📂 Categoria]]="","",SUBSTITUTE(tbCartoes[[#This Row],[📂 Categoria]]," ","_"))</f>
        <v/>
      </c>
      <c r="I771" s="273"/>
    </row>
    <row r="772" spans="1:9">
      <c r="A772" s="55"/>
      <c r="B772" s="56"/>
      <c r="C772" s="56"/>
      <c r="D772" s="56"/>
      <c r="E772" s="57"/>
      <c r="F772" s="58"/>
      <c r="G772" s="56"/>
      <c r="H772" s="63" t="str">
        <f>IF(tbCartoes[[#This Row],[📂 Categoria]]="","",SUBSTITUTE(tbCartoes[[#This Row],[📂 Categoria]]," ","_"))</f>
        <v/>
      </c>
      <c r="I772" s="272"/>
    </row>
    <row r="773" spans="1:9">
      <c r="A773" s="59"/>
      <c r="B773" s="60"/>
      <c r="C773" s="60"/>
      <c r="D773" s="60"/>
      <c r="E773" s="61"/>
      <c r="F773" s="62"/>
      <c r="G773" s="60"/>
      <c r="H773" s="64" t="str">
        <f>IF(tbCartoes[[#This Row],[📂 Categoria]]="","",SUBSTITUTE(tbCartoes[[#This Row],[📂 Categoria]]," ","_"))</f>
        <v/>
      </c>
      <c r="I773" s="273"/>
    </row>
    <row r="774" spans="1:9">
      <c r="A774" s="55"/>
      <c r="B774" s="56"/>
      <c r="C774" s="56"/>
      <c r="D774" s="56"/>
      <c r="E774" s="57"/>
      <c r="F774" s="58"/>
      <c r="G774" s="56"/>
      <c r="H774" s="63" t="str">
        <f>IF(tbCartoes[[#This Row],[📂 Categoria]]="","",SUBSTITUTE(tbCartoes[[#This Row],[📂 Categoria]]," ","_"))</f>
        <v/>
      </c>
      <c r="I774" s="272"/>
    </row>
    <row r="775" spans="1:9">
      <c r="A775" s="59"/>
      <c r="B775" s="60"/>
      <c r="C775" s="60"/>
      <c r="D775" s="60"/>
      <c r="E775" s="61"/>
      <c r="F775" s="62"/>
      <c r="G775" s="60"/>
      <c r="H775" s="64" t="str">
        <f>IF(tbCartoes[[#This Row],[📂 Categoria]]="","",SUBSTITUTE(tbCartoes[[#This Row],[📂 Categoria]]," ","_"))</f>
        <v/>
      </c>
      <c r="I775" s="273"/>
    </row>
    <row r="776" spans="1:9">
      <c r="A776" s="55"/>
      <c r="B776" s="56"/>
      <c r="C776" s="56"/>
      <c r="D776" s="56"/>
      <c r="E776" s="57"/>
      <c r="F776" s="58"/>
      <c r="G776" s="56"/>
      <c r="H776" s="63" t="str">
        <f>IF(tbCartoes[[#This Row],[📂 Categoria]]="","",SUBSTITUTE(tbCartoes[[#This Row],[📂 Categoria]]," ","_"))</f>
        <v/>
      </c>
      <c r="I776" s="272"/>
    </row>
    <row r="777" spans="1:9">
      <c r="A777" s="59"/>
      <c r="B777" s="60"/>
      <c r="C777" s="60"/>
      <c r="D777" s="60"/>
      <c r="E777" s="61"/>
      <c r="F777" s="62"/>
      <c r="G777" s="60"/>
      <c r="H777" s="64" t="str">
        <f>IF(tbCartoes[[#This Row],[📂 Categoria]]="","",SUBSTITUTE(tbCartoes[[#This Row],[📂 Categoria]]," ","_"))</f>
        <v/>
      </c>
      <c r="I777" s="273"/>
    </row>
    <row r="778" spans="1:9">
      <c r="A778" s="55"/>
      <c r="B778" s="56"/>
      <c r="C778" s="56"/>
      <c r="D778" s="56"/>
      <c r="E778" s="57"/>
      <c r="F778" s="58"/>
      <c r="G778" s="56"/>
      <c r="H778" s="63" t="str">
        <f>IF(tbCartoes[[#This Row],[📂 Categoria]]="","",SUBSTITUTE(tbCartoes[[#This Row],[📂 Categoria]]," ","_"))</f>
        <v/>
      </c>
      <c r="I778" s="272"/>
    </row>
    <row r="779" spans="1:9">
      <c r="A779" s="59"/>
      <c r="B779" s="60"/>
      <c r="C779" s="60"/>
      <c r="D779" s="60"/>
      <c r="E779" s="61"/>
      <c r="F779" s="62"/>
      <c r="G779" s="60"/>
      <c r="H779" s="64" t="str">
        <f>IF(tbCartoes[[#This Row],[📂 Categoria]]="","",SUBSTITUTE(tbCartoes[[#This Row],[📂 Categoria]]," ","_"))</f>
        <v/>
      </c>
      <c r="I779" s="273"/>
    </row>
    <row r="780" spans="1:9">
      <c r="A780" s="55"/>
      <c r="B780" s="56"/>
      <c r="C780" s="56"/>
      <c r="D780" s="56"/>
      <c r="E780" s="57"/>
      <c r="F780" s="58"/>
      <c r="G780" s="56"/>
      <c r="H780" s="63" t="str">
        <f>IF(tbCartoes[[#This Row],[📂 Categoria]]="","",SUBSTITUTE(tbCartoes[[#This Row],[📂 Categoria]]," ","_"))</f>
        <v/>
      </c>
      <c r="I780" s="272"/>
    </row>
    <row r="781" spans="1:9">
      <c r="A781" s="59"/>
      <c r="B781" s="60"/>
      <c r="C781" s="60"/>
      <c r="D781" s="60"/>
      <c r="E781" s="61"/>
      <c r="F781" s="62"/>
      <c r="G781" s="60"/>
      <c r="H781" s="64" t="str">
        <f>IF(tbCartoes[[#This Row],[📂 Categoria]]="","",SUBSTITUTE(tbCartoes[[#This Row],[📂 Categoria]]," ","_"))</f>
        <v/>
      </c>
      <c r="I781" s="273"/>
    </row>
    <row r="782" spans="1:9">
      <c r="A782" s="55"/>
      <c r="B782" s="56"/>
      <c r="C782" s="56"/>
      <c r="D782" s="56"/>
      <c r="E782" s="57"/>
      <c r="F782" s="58"/>
      <c r="G782" s="56"/>
      <c r="H782" s="63" t="str">
        <f>IF(tbCartoes[[#This Row],[📂 Categoria]]="","",SUBSTITUTE(tbCartoes[[#This Row],[📂 Categoria]]," ","_"))</f>
        <v/>
      </c>
      <c r="I782" s="272"/>
    </row>
    <row r="783" spans="1:9">
      <c r="A783" s="59"/>
      <c r="B783" s="60"/>
      <c r="C783" s="60"/>
      <c r="D783" s="60"/>
      <c r="E783" s="61"/>
      <c r="F783" s="62"/>
      <c r="G783" s="60"/>
      <c r="H783" s="64" t="str">
        <f>IF(tbCartoes[[#This Row],[📂 Categoria]]="","",SUBSTITUTE(tbCartoes[[#This Row],[📂 Categoria]]," ","_"))</f>
        <v/>
      </c>
      <c r="I783" s="273"/>
    </row>
    <row r="784" spans="1:9">
      <c r="A784" s="55"/>
      <c r="B784" s="56"/>
      <c r="C784" s="56"/>
      <c r="D784" s="56"/>
      <c r="E784" s="57"/>
      <c r="F784" s="58"/>
      <c r="G784" s="56"/>
      <c r="H784" s="63" t="str">
        <f>IF(tbCartoes[[#This Row],[📂 Categoria]]="","",SUBSTITUTE(tbCartoes[[#This Row],[📂 Categoria]]," ","_"))</f>
        <v/>
      </c>
      <c r="I784" s="272"/>
    </row>
    <row r="785" spans="1:9">
      <c r="A785" s="59"/>
      <c r="B785" s="60"/>
      <c r="C785" s="60"/>
      <c r="D785" s="60"/>
      <c r="E785" s="61"/>
      <c r="F785" s="62"/>
      <c r="G785" s="60"/>
      <c r="H785" s="64" t="str">
        <f>IF(tbCartoes[[#This Row],[📂 Categoria]]="","",SUBSTITUTE(tbCartoes[[#This Row],[📂 Categoria]]," ","_"))</f>
        <v/>
      </c>
      <c r="I785" s="273"/>
    </row>
    <row r="786" spans="1:9">
      <c r="A786" s="55"/>
      <c r="B786" s="56"/>
      <c r="C786" s="56"/>
      <c r="D786" s="56"/>
      <c r="E786" s="57"/>
      <c r="F786" s="58"/>
      <c r="G786" s="56"/>
      <c r="H786" s="63" t="str">
        <f>IF(tbCartoes[[#This Row],[📂 Categoria]]="","",SUBSTITUTE(tbCartoes[[#This Row],[📂 Categoria]]," ","_"))</f>
        <v/>
      </c>
      <c r="I786" s="272"/>
    </row>
    <row r="787" spans="1:9">
      <c r="A787" s="59"/>
      <c r="B787" s="60"/>
      <c r="C787" s="60"/>
      <c r="D787" s="60"/>
      <c r="E787" s="61"/>
      <c r="F787" s="62"/>
      <c r="G787" s="60"/>
      <c r="H787" s="64" t="str">
        <f>IF(tbCartoes[[#This Row],[📂 Categoria]]="","",SUBSTITUTE(tbCartoes[[#This Row],[📂 Categoria]]," ","_"))</f>
        <v/>
      </c>
      <c r="I787" s="273"/>
    </row>
    <row r="788" spans="1:9">
      <c r="A788" s="55"/>
      <c r="B788" s="56"/>
      <c r="C788" s="56"/>
      <c r="D788" s="56"/>
      <c r="E788" s="57"/>
      <c r="F788" s="58"/>
      <c r="G788" s="56"/>
      <c r="H788" s="63" t="str">
        <f>IF(tbCartoes[[#This Row],[📂 Categoria]]="","",SUBSTITUTE(tbCartoes[[#This Row],[📂 Categoria]]," ","_"))</f>
        <v/>
      </c>
      <c r="I788" s="272"/>
    </row>
    <row r="789" spans="1:9">
      <c r="A789" s="59"/>
      <c r="B789" s="60"/>
      <c r="C789" s="60"/>
      <c r="D789" s="60"/>
      <c r="E789" s="61"/>
      <c r="F789" s="62"/>
      <c r="G789" s="60"/>
      <c r="H789" s="64" t="str">
        <f>IF(tbCartoes[[#This Row],[📂 Categoria]]="","",SUBSTITUTE(tbCartoes[[#This Row],[📂 Categoria]]," ","_"))</f>
        <v/>
      </c>
      <c r="I789" s="273"/>
    </row>
    <row r="790" spans="1:9">
      <c r="A790" s="55"/>
      <c r="B790" s="56"/>
      <c r="C790" s="56"/>
      <c r="D790" s="56"/>
      <c r="E790" s="57"/>
      <c r="F790" s="58"/>
      <c r="G790" s="56"/>
      <c r="H790" s="63" t="str">
        <f>IF(tbCartoes[[#This Row],[📂 Categoria]]="","",SUBSTITUTE(tbCartoes[[#This Row],[📂 Categoria]]," ","_"))</f>
        <v/>
      </c>
      <c r="I790" s="272"/>
    </row>
    <row r="791" spans="1:9">
      <c r="A791" s="59"/>
      <c r="B791" s="60"/>
      <c r="C791" s="60"/>
      <c r="D791" s="60"/>
      <c r="E791" s="61"/>
      <c r="F791" s="62"/>
      <c r="G791" s="60"/>
      <c r="H791" s="64" t="str">
        <f>IF(tbCartoes[[#This Row],[📂 Categoria]]="","",SUBSTITUTE(tbCartoes[[#This Row],[📂 Categoria]]," ","_"))</f>
        <v/>
      </c>
      <c r="I791" s="273"/>
    </row>
    <row r="792" spans="1:9">
      <c r="A792" s="55"/>
      <c r="B792" s="56"/>
      <c r="C792" s="56"/>
      <c r="D792" s="56"/>
      <c r="E792" s="57"/>
      <c r="F792" s="58"/>
      <c r="G792" s="56"/>
      <c r="H792" s="63" t="str">
        <f>IF(tbCartoes[[#This Row],[📂 Categoria]]="","",SUBSTITUTE(tbCartoes[[#This Row],[📂 Categoria]]," ","_"))</f>
        <v/>
      </c>
      <c r="I792" s="272"/>
    </row>
    <row r="793" spans="1:9">
      <c r="A793" s="59"/>
      <c r="B793" s="60"/>
      <c r="C793" s="60"/>
      <c r="D793" s="60"/>
      <c r="E793" s="61"/>
      <c r="F793" s="62"/>
      <c r="G793" s="60"/>
      <c r="H793" s="64" t="str">
        <f>IF(tbCartoes[[#This Row],[📂 Categoria]]="","",SUBSTITUTE(tbCartoes[[#This Row],[📂 Categoria]]," ","_"))</f>
        <v/>
      </c>
      <c r="I793" s="273"/>
    </row>
    <row r="794" spans="1:9">
      <c r="A794" s="55"/>
      <c r="B794" s="56"/>
      <c r="C794" s="56"/>
      <c r="D794" s="56"/>
      <c r="E794" s="57"/>
      <c r="F794" s="58"/>
      <c r="G794" s="56"/>
      <c r="H794" s="63" t="str">
        <f>IF(tbCartoes[[#This Row],[📂 Categoria]]="","",SUBSTITUTE(tbCartoes[[#This Row],[📂 Categoria]]," ","_"))</f>
        <v/>
      </c>
      <c r="I794" s="272"/>
    </row>
    <row r="795" spans="1:9">
      <c r="A795" s="59"/>
      <c r="B795" s="60"/>
      <c r="C795" s="60"/>
      <c r="D795" s="60"/>
      <c r="E795" s="61"/>
      <c r="F795" s="62"/>
      <c r="G795" s="60"/>
      <c r="H795" s="64" t="str">
        <f>IF(tbCartoes[[#This Row],[📂 Categoria]]="","",SUBSTITUTE(tbCartoes[[#This Row],[📂 Categoria]]," ","_"))</f>
        <v/>
      </c>
      <c r="I795" s="273"/>
    </row>
    <row r="796" spans="1:9">
      <c r="A796" s="55"/>
      <c r="B796" s="56"/>
      <c r="C796" s="56"/>
      <c r="D796" s="56"/>
      <c r="E796" s="57"/>
      <c r="F796" s="58"/>
      <c r="G796" s="56"/>
      <c r="H796" s="63" t="str">
        <f>IF(tbCartoes[[#This Row],[📂 Categoria]]="","",SUBSTITUTE(tbCartoes[[#This Row],[📂 Categoria]]," ","_"))</f>
        <v/>
      </c>
      <c r="I796" s="272"/>
    </row>
    <row r="797" spans="1:9">
      <c r="A797" s="59"/>
      <c r="B797" s="60"/>
      <c r="C797" s="60"/>
      <c r="D797" s="60"/>
      <c r="E797" s="61"/>
      <c r="F797" s="62"/>
      <c r="G797" s="60"/>
      <c r="H797" s="64" t="str">
        <f>IF(tbCartoes[[#This Row],[📂 Categoria]]="","",SUBSTITUTE(tbCartoes[[#This Row],[📂 Categoria]]," ","_"))</f>
        <v/>
      </c>
      <c r="I797" s="273"/>
    </row>
    <row r="798" spans="1:9">
      <c r="A798" s="55"/>
      <c r="B798" s="56"/>
      <c r="C798" s="56"/>
      <c r="D798" s="56"/>
      <c r="E798" s="57"/>
      <c r="F798" s="58"/>
      <c r="G798" s="56"/>
      <c r="H798" s="63" t="str">
        <f>IF(tbCartoes[[#This Row],[📂 Categoria]]="","",SUBSTITUTE(tbCartoes[[#This Row],[📂 Categoria]]," ","_"))</f>
        <v/>
      </c>
      <c r="I798" s="272"/>
    </row>
    <row r="799" spans="1:9">
      <c r="A799" s="59"/>
      <c r="B799" s="60"/>
      <c r="C799" s="60"/>
      <c r="D799" s="60"/>
      <c r="E799" s="61"/>
      <c r="F799" s="62"/>
      <c r="G799" s="60"/>
      <c r="H799" s="64" t="str">
        <f>IF(tbCartoes[[#This Row],[📂 Categoria]]="","",SUBSTITUTE(tbCartoes[[#This Row],[📂 Categoria]]," ","_"))</f>
        <v/>
      </c>
      <c r="I799" s="273"/>
    </row>
    <row r="800" spans="1:9">
      <c r="A800" s="55"/>
      <c r="B800" s="56"/>
      <c r="C800" s="56"/>
      <c r="D800" s="56"/>
      <c r="E800" s="57"/>
      <c r="F800" s="58"/>
      <c r="G800" s="56"/>
      <c r="H800" s="63" t="str">
        <f>IF(tbCartoes[[#This Row],[📂 Categoria]]="","",SUBSTITUTE(tbCartoes[[#This Row],[📂 Categoria]]," ","_"))</f>
        <v/>
      </c>
      <c r="I800" s="272"/>
    </row>
    <row r="801" spans="1:9">
      <c r="A801" s="59"/>
      <c r="B801" s="60"/>
      <c r="C801" s="60"/>
      <c r="D801" s="60"/>
      <c r="E801" s="61"/>
      <c r="F801" s="62"/>
      <c r="G801" s="60"/>
      <c r="H801" s="64" t="str">
        <f>IF(tbCartoes[[#This Row],[📂 Categoria]]="","",SUBSTITUTE(tbCartoes[[#This Row],[📂 Categoria]]," ","_"))</f>
        <v/>
      </c>
      <c r="I801" s="273"/>
    </row>
    <row r="802" spans="1:9">
      <c r="A802" s="55"/>
      <c r="B802" s="56"/>
      <c r="C802" s="56"/>
      <c r="D802" s="56"/>
      <c r="E802" s="57"/>
      <c r="F802" s="58"/>
      <c r="G802" s="56"/>
      <c r="H802" s="63" t="str">
        <f>IF(tbCartoes[[#This Row],[📂 Categoria]]="","",SUBSTITUTE(tbCartoes[[#This Row],[📂 Categoria]]," ","_"))</f>
        <v/>
      </c>
      <c r="I802" s="272"/>
    </row>
    <row r="803" spans="1:9">
      <c r="A803" s="59"/>
      <c r="B803" s="60"/>
      <c r="C803" s="60"/>
      <c r="D803" s="60"/>
      <c r="E803" s="61"/>
      <c r="F803" s="62"/>
      <c r="G803" s="60"/>
      <c r="H803" s="64" t="str">
        <f>IF(tbCartoes[[#This Row],[📂 Categoria]]="","",SUBSTITUTE(tbCartoes[[#This Row],[📂 Categoria]]," ","_"))</f>
        <v/>
      </c>
      <c r="I803" s="273"/>
    </row>
    <row r="804" spans="1:9">
      <c r="A804" s="55"/>
      <c r="B804" s="56"/>
      <c r="C804" s="56"/>
      <c r="D804" s="56"/>
      <c r="E804" s="57"/>
      <c r="F804" s="58"/>
      <c r="G804" s="56"/>
      <c r="H804" s="63" t="str">
        <f>IF(tbCartoes[[#This Row],[📂 Categoria]]="","",SUBSTITUTE(tbCartoes[[#This Row],[📂 Categoria]]," ","_"))</f>
        <v/>
      </c>
      <c r="I804" s="272"/>
    </row>
    <row r="805" spans="1:9">
      <c r="A805" s="59"/>
      <c r="B805" s="60"/>
      <c r="C805" s="60"/>
      <c r="D805" s="60"/>
      <c r="E805" s="61"/>
      <c r="F805" s="62"/>
      <c r="G805" s="60"/>
      <c r="H805" s="64" t="str">
        <f>IF(tbCartoes[[#This Row],[📂 Categoria]]="","",SUBSTITUTE(tbCartoes[[#This Row],[📂 Categoria]]," ","_"))</f>
        <v/>
      </c>
      <c r="I805" s="273"/>
    </row>
    <row r="806" spans="1:9">
      <c r="A806" s="55"/>
      <c r="B806" s="56"/>
      <c r="C806" s="56"/>
      <c r="D806" s="56"/>
      <c r="E806" s="57"/>
      <c r="F806" s="58"/>
      <c r="G806" s="56"/>
      <c r="H806" s="63" t="str">
        <f>IF(tbCartoes[[#This Row],[📂 Categoria]]="","",SUBSTITUTE(tbCartoes[[#This Row],[📂 Categoria]]," ","_"))</f>
        <v/>
      </c>
      <c r="I806" s="272"/>
    </row>
    <row r="807" spans="1:9">
      <c r="A807" s="59"/>
      <c r="B807" s="60"/>
      <c r="C807" s="60"/>
      <c r="D807" s="60"/>
      <c r="E807" s="61"/>
      <c r="F807" s="62"/>
      <c r="G807" s="60"/>
      <c r="H807" s="64" t="str">
        <f>IF(tbCartoes[[#This Row],[📂 Categoria]]="","",SUBSTITUTE(tbCartoes[[#This Row],[📂 Categoria]]," ","_"))</f>
        <v/>
      </c>
      <c r="I807" s="273"/>
    </row>
    <row r="808" spans="1:9">
      <c r="A808" s="55"/>
      <c r="B808" s="56"/>
      <c r="C808" s="56"/>
      <c r="D808" s="56"/>
      <c r="E808" s="57"/>
      <c r="F808" s="58"/>
      <c r="G808" s="56"/>
      <c r="H808" s="63" t="str">
        <f>IF(tbCartoes[[#This Row],[📂 Categoria]]="","",SUBSTITUTE(tbCartoes[[#This Row],[📂 Categoria]]," ","_"))</f>
        <v/>
      </c>
      <c r="I808" s="272"/>
    </row>
    <row r="809" spans="1:9">
      <c r="A809" s="59"/>
      <c r="B809" s="60"/>
      <c r="C809" s="60"/>
      <c r="D809" s="60"/>
      <c r="E809" s="61"/>
      <c r="F809" s="62"/>
      <c r="G809" s="60"/>
      <c r="H809" s="64" t="str">
        <f>IF(tbCartoes[[#This Row],[📂 Categoria]]="","",SUBSTITUTE(tbCartoes[[#This Row],[📂 Categoria]]," ","_"))</f>
        <v/>
      </c>
      <c r="I809" s="273"/>
    </row>
    <row r="810" spans="1:9">
      <c r="A810" s="55"/>
      <c r="B810" s="56"/>
      <c r="C810" s="56"/>
      <c r="D810" s="56"/>
      <c r="E810" s="57"/>
      <c r="F810" s="58"/>
      <c r="G810" s="56"/>
      <c r="H810" s="63" t="str">
        <f>IF(tbCartoes[[#This Row],[📂 Categoria]]="","",SUBSTITUTE(tbCartoes[[#This Row],[📂 Categoria]]," ","_"))</f>
        <v/>
      </c>
      <c r="I810" s="272"/>
    </row>
    <row r="811" spans="1:9">
      <c r="A811" s="59"/>
      <c r="B811" s="60"/>
      <c r="C811" s="60"/>
      <c r="D811" s="60"/>
      <c r="E811" s="61"/>
      <c r="F811" s="62"/>
      <c r="G811" s="60"/>
      <c r="H811" s="64" t="str">
        <f>IF(tbCartoes[[#This Row],[📂 Categoria]]="","",SUBSTITUTE(tbCartoes[[#This Row],[📂 Categoria]]," ","_"))</f>
        <v/>
      </c>
      <c r="I811" s="273"/>
    </row>
    <row r="812" spans="1:9">
      <c r="A812" s="55"/>
      <c r="B812" s="56"/>
      <c r="C812" s="56"/>
      <c r="D812" s="56"/>
      <c r="E812" s="57"/>
      <c r="F812" s="58"/>
      <c r="G812" s="56"/>
      <c r="H812" s="63" t="str">
        <f>IF(tbCartoes[[#This Row],[📂 Categoria]]="","",SUBSTITUTE(tbCartoes[[#This Row],[📂 Categoria]]," ","_"))</f>
        <v/>
      </c>
      <c r="I812" s="272"/>
    </row>
    <row r="813" spans="1:9">
      <c r="A813" s="59"/>
      <c r="B813" s="60"/>
      <c r="C813" s="60"/>
      <c r="D813" s="60"/>
      <c r="E813" s="61"/>
      <c r="F813" s="62"/>
      <c r="G813" s="60"/>
      <c r="H813" s="64" t="str">
        <f>IF(tbCartoes[[#This Row],[📂 Categoria]]="","",SUBSTITUTE(tbCartoes[[#This Row],[📂 Categoria]]," ","_"))</f>
        <v/>
      </c>
      <c r="I813" s="273"/>
    </row>
    <row r="814" spans="1:9">
      <c r="A814" s="55"/>
      <c r="B814" s="56"/>
      <c r="C814" s="56"/>
      <c r="D814" s="56"/>
      <c r="E814" s="57"/>
      <c r="F814" s="58"/>
      <c r="G814" s="56"/>
      <c r="H814" s="63" t="str">
        <f>IF(tbCartoes[[#This Row],[📂 Categoria]]="","",SUBSTITUTE(tbCartoes[[#This Row],[📂 Categoria]]," ","_"))</f>
        <v/>
      </c>
      <c r="I814" s="272"/>
    </row>
    <row r="815" spans="1:9">
      <c r="A815" s="59"/>
      <c r="B815" s="60"/>
      <c r="C815" s="60"/>
      <c r="D815" s="60"/>
      <c r="E815" s="61"/>
      <c r="F815" s="62"/>
      <c r="G815" s="60"/>
      <c r="H815" s="64" t="str">
        <f>IF(tbCartoes[[#This Row],[📂 Categoria]]="","",SUBSTITUTE(tbCartoes[[#This Row],[📂 Categoria]]," ","_"))</f>
        <v/>
      </c>
      <c r="I815" s="273"/>
    </row>
    <row r="816" spans="1:9">
      <c r="A816" s="55"/>
      <c r="B816" s="56"/>
      <c r="C816" s="56"/>
      <c r="D816" s="56"/>
      <c r="E816" s="57"/>
      <c r="F816" s="58"/>
      <c r="G816" s="56"/>
      <c r="H816" s="63" t="str">
        <f>IF(tbCartoes[[#This Row],[📂 Categoria]]="","",SUBSTITUTE(tbCartoes[[#This Row],[📂 Categoria]]," ","_"))</f>
        <v/>
      </c>
      <c r="I816" s="272"/>
    </row>
    <row r="817" spans="1:9">
      <c r="A817" s="59"/>
      <c r="B817" s="60"/>
      <c r="C817" s="60"/>
      <c r="D817" s="60"/>
      <c r="E817" s="61"/>
      <c r="F817" s="62"/>
      <c r="G817" s="60"/>
      <c r="H817" s="64" t="str">
        <f>IF(tbCartoes[[#This Row],[📂 Categoria]]="","",SUBSTITUTE(tbCartoes[[#This Row],[📂 Categoria]]," ","_"))</f>
        <v/>
      </c>
      <c r="I817" s="273"/>
    </row>
    <row r="818" spans="1:9">
      <c r="A818" s="55"/>
      <c r="B818" s="56"/>
      <c r="C818" s="56"/>
      <c r="D818" s="56"/>
      <c r="E818" s="57"/>
      <c r="F818" s="58"/>
      <c r="G818" s="56"/>
      <c r="H818" s="63" t="str">
        <f>IF(tbCartoes[[#This Row],[📂 Categoria]]="","",SUBSTITUTE(tbCartoes[[#This Row],[📂 Categoria]]," ","_"))</f>
        <v/>
      </c>
      <c r="I818" s="272"/>
    </row>
    <row r="819" spans="1:9">
      <c r="A819" s="59"/>
      <c r="B819" s="60"/>
      <c r="C819" s="60"/>
      <c r="D819" s="60"/>
      <c r="E819" s="61"/>
      <c r="F819" s="62"/>
      <c r="G819" s="60"/>
      <c r="H819" s="64" t="str">
        <f>IF(tbCartoes[[#This Row],[📂 Categoria]]="","",SUBSTITUTE(tbCartoes[[#This Row],[📂 Categoria]]," ","_"))</f>
        <v/>
      </c>
      <c r="I819" s="273"/>
    </row>
    <row r="820" spans="1:9">
      <c r="A820" s="55"/>
      <c r="B820" s="56"/>
      <c r="C820" s="56"/>
      <c r="D820" s="56"/>
      <c r="E820" s="57"/>
      <c r="F820" s="58"/>
      <c r="G820" s="56"/>
      <c r="H820" s="63" t="str">
        <f>IF(tbCartoes[[#This Row],[📂 Categoria]]="","",SUBSTITUTE(tbCartoes[[#This Row],[📂 Categoria]]," ","_"))</f>
        <v/>
      </c>
      <c r="I820" s="272"/>
    </row>
    <row r="821" spans="1:9">
      <c r="A821" s="59"/>
      <c r="B821" s="60"/>
      <c r="C821" s="60"/>
      <c r="D821" s="60"/>
      <c r="E821" s="61"/>
      <c r="F821" s="62"/>
      <c r="G821" s="60"/>
      <c r="H821" s="64" t="str">
        <f>IF(tbCartoes[[#This Row],[📂 Categoria]]="","",SUBSTITUTE(tbCartoes[[#This Row],[📂 Categoria]]," ","_"))</f>
        <v/>
      </c>
      <c r="I821" s="273"/>
    </row>
    <row r="822" spans="1:9">
      <c r="A822" s="55"/>
      <c r="B822" s="56"/>
      <c r="C822" s="56"/>
      <c r="D822" s="56"/>
      <c r="E822" s="57"/>
      <c r="F822" s="58"/>
      <c r="G822" s="56"/>
      <c r="H822" s="63" t="str">
        <f>IF(tbCartoes[[#This Row],[📂 Categoria]]="","",SUBSTITUTE(tbCartoes[[#This Row],[📂 Categoria]]," ","_"))</f>
        <v/>
      </c>
      <c r="I822" s="272"/>
    </row>
    <row r="823" spans="1:9">
      <c r="A823" s="59"/>
      <c r="B823" s="60"/>
      <c r="C823" s="60"/>
      <c r="D823" s="60"/>
      <c r="E823" s="61"/>
      <c r="F823" s="62"/>
      <c r="G823" s="60"/>
      <c r="H823" s="64" t="str">
        <f>IF(tbCartoes[[#This Row],[📂 Categoria]]="","",SUBSTITUTE(tbCartoes[[#This Row],[📂 Categoria]]," ","_"))</f>
        <v/>
      </c>
      <c r="I823" s="273"/>
    </row>
    <row r="824" spans="1:9">
      <c r="A824" s="55"/>
      <c r="B824" s="56"/>
      <c r="C824" s="56"/>
      <c r="D824" s="56"/>
      <c r="E824" s="57"/>
      <c r="F824" s="58"/>
      <c r="G824" s="56"/>
      <c r="H824" s="63" t="str">
        <f>IF(tbCartoes[[#This Row],[📂 Categoria]]="","",SUBSTITUTE(tbCartoes[[#This Row],[📂 Categoria]]," ","_"))</f>
        <v/>
      </c>
      <c r="I824" s="272"/>
    </row>
    <row r="825" spans="1:9">
      <c r="A825" s="59"/>
      <c r="B825" s="60"/>
      <c r="C825" s="60"/>
      <c r="D825" s="60"/>
      <c r="E825" s="61"/>
      <c r="F825" s="62"/>
      <c r="G825" s="60"/>
      <c r="H825" s="64" t="str">
        <f>IF(tbCartoes[[#This Row],[📂 Categoria]]="","",SUBSTITUTE(tbCartoes[[#This Row],[📂 Categoria]]," ","_"))</f>
        <v/>
      </c>
      <c r="I825" s="273"/>
    </row>
    <row r="826" spans="1:9">
      <c r="A826" s="55"/>
      <c r="B826" s="56"/>
      <c r="C826" s="56"/>
      <c r="D826" s="56"/>
      <c r="E826" s="57"/>
      <c r="F826" s="58"/>
      <c r="G826" s="56"/>
      <c r="H826" s="63" t="str">
        <f>IF(tbCartoes[[#This Row],[📂 Categoria]]="","",SUBSTITUTE(tbCartoes[[#This Row],[📂 Categoria]]," ","_"))</f>
        <v/>
      </c>
      <c r="I826" s="272"/>
    </row>
    <row r="827" spans="1:9">
      <c r="A827" s="59"/>
      <c r="B827" s="60"/>
      <c r="C827" s="60"/>
      <c r="D827" s="60"/>
      <c r="E827" s="61"/>
      <c r="F827" s="62"/>
      <c r="G827" s="60"/>
      <c r="H827" s="64" t="str">
        <f>IF(tbCartoes[[#This Row],[📂 Categoria]]="","",SUBSTITUTE(tbCartoes[[#This Row],[📂 Categoria]]," ","_"))</f>
        <v/>
      </c>
      <c r="I827" s="273"/>
    </row>
    <row r="828" spans="1:9">
      <c r="A828" s="55"/>
      <c r="B828" s="56"/>
      <c r="C828" s="56"/>
      <c r="D828" s="56"/>
      <c r="E828" s="57"/>
      <c r="F828" s="58"/>
      <c r="G828" s="56"/>
      <c r="H828" s="63" t="str">
        <f>IF(tbCartoes[[#This Row],[📂 Categoria]]="","",SUBSTITUTE(tbCartoes[[#This Row],[📂 Categoria]]," ","_"))</f>
        <v/>
      </c>
      <c r="I828" s="272"/>
    </row>
    <row r="829" spans="1:9">
      <c r="A829" s="59"/>
      <c r="B829" s="60"/>
      <c r="C829" s="60"/>
      <c r="D829" s="60"/>
      <c r="E829" s="61"/>
      <c r="F829" s="62"/>
      <c r="G829" s="60"/>
      <c r="H829" s="64" t="str">
        <f>IF(tbCartoes[[#This Row],[📂 Categoria]]="","",SUBSTITUTE(tbCartoes[[#This Row],[📂 Categoria]]," ","_"))</f>
        <v/>
      </c>
      <c r="I829" s="273"/>
    </row>
    <row r="830" spans="1:9">
      <c r="A830" s="55"/>
      <c r="B830" s="56"/>
      <c r="C830" s="56"/>
      <c r="D830" s="56"/>
      <c r="E830" s="57"/>
      <c r="F830" s="58"/>
      <c r="G830" s="56"/>
      <c r="H830" s="63" t="str">
        <f>IF(tbCartoes[[#This Row],[📂 Categoria]]="","",SUBSTITUTE(tbCartoes[[#This Row],[📂 Categoria]]," ","_"))</f>
        <v/>
      </c>
      <c r="I830" s="272"/>
    </row>
    <row r="831" spans="1:9">
      <c r="A831" s="59"/>
      <c r="B831" s="60"/>
      <c r="C831" s="60"/>
      <c r="D831" s="60"/>
      <c r="E831" s="61"/>
      <c r="F831" s="62"/>
      <c r="G831" s="60"/>
      <c r="H831" s="64" t="str">
        <f>IF(tbCartoes[[#This Row],[📂 Categoria]]="","",SUBSTITUTE(tbCartoes[[#This Row],[📂 Categoria]]," ","_"))</f>
        <v/>
      </c>
      <c r="I831" s="273"/>
    </row>
    <row r="832" spans="1:9">
      <c r="A832" s="55"/>
      <c r="B832" s="56"/>
      <c r="C832" s="56"/>
      <c r="D832" s="56"/>
      <c r="E832" s="57"/>
      <c r="F832" s="58"/>
      <c r="G832" s="56"/>
      <c r="H832" s="63" t="str">
        <f>IF(tbCartoes[[#This Row],[📂 Categoria]]="","",SUBSTITUTE(tbCartoes[[#This Row],[📂 Categoria]]," ","_"))</f>
        <v/>
      </c>
      <c r="I832" s="272"/>
    </row>
    <row r="833" spans="1:9">
      <c r="A833" s="59"/>
      <c r="B833" s="60"/>
      <c r="C833" s="60"/>
      <c r="D833" s="60"/>
      <c r="E833" s="61"/>
      <c r="F833" s="62"/>
      <c r="G833" s="60"/>
      <c r="H833" s="64" t="str">
        <f>IF(tbCartoes[[#This Row],[📂 Categoria]]="","",SUBSTITUTE(tbCartoes[[#This Row],[📂 Categoria]]," ","_"))</f>
        <v/>
      </c>
      <c r="I833" s="273"/>
    </row>
    <row r="834" spans="1:9">
      <c r="A834" s="55"/>
      <c r="B834" s="56"/>
      <c r="C834" s="56"/>
      <c r="D834" s="56"/>
      <c r="E834" s="57"/>
      <c r="F834" s="58"/>
      <c r="G834" s="56"/>
      <c r="H834" s="63" t="str">
        <f>IF(tbCartoes[[#This Row],[📂 Categoria]]="","",SUBSTITUTE(tbCartoes[[#This Row],[📂 Categoria]]," ","_"))</f>
        <v/>
      </c>
      <c r="I834" s="272"/>
    </row>
    <row r="835" spans="1:9">
      <c r="A835" s="59"/>
      <c r="B835" s="60"/>
      <c r="C835" s="60"/>
      <c r="D835" s="60"/>
      <c r="E835" s="61"/>
      <c r="F835" s="62"/>
      <c r="G835" s="60"/>
      <c r="H835" s="64" t="str">
        <f>IF(tbCartoes[[#This Row],[📂 Categoria]]="","",SUBSTITUTE(tbCartoes[[#This Row],[📂 Categoria]]," ","_"))</f>
        <v/>
      </c>
      <c r="I835" s="273"/>
    </row>
    <row r="836" spans="1:9">
      <c r="A836" s="55"/>
      <c r="B836" s="56"/>
      <c r="C836" s="56"/>
      <c r="D836" s="56"/>
      <c r="E836" s="57"/>
      <c r="F836" s="58"/>
      <c r="G836" s="56"/>
      <c r="H836" s="63" t="str">
        <f>IF(tbCartoes[[#This Row],[📂 Categoria]]="","",SUBSTITUTE(tbCartoes[[#This Row],[📂 Categoria]]," ","_"))</f>
        <v/>
      </c>
      <c r="I836" s="272"/>
    </row>
    <row r="837" spans="1:9">
      <c r="H837" t="str">
        <f>IF(tbCartoes[[#This Row],[📂 Categoria]]="","",SUBSTITUTE(tbCartoes[[#This Row],[📂 Categoria]]," ","_"))</f>
        <v/>
      </c>
    </row>
    <row r="838" spans="1:9">
      <c r="H838" t="str">
        <f>IF(tbCartoes[[#This Row],[📂 Categoria]]="","",SUBSTITUTE(tbCartoes[[#This Row],[📂 Categoria]]," ","_"))</f>
        <v/>
      </c>
    </row>
    <row r="839" spans="1:9">
      <c r="H839" t="str">
        <f>IF(tbCartoes[[#This Row],[📂 Categoria]]="","",SUBSTITUTE(tbCartoes[[#This Row],[📂 Categoria]]," ","_"))</f>
        <v/>
      </c>
    </row>
    <row r="840" spans="1:9">
      <c r="H840" t="str">
        <f>IF(tbCartoes[[#This Row],[📂 Categoria]]="","",SUBSTITUTE(tbCartoes[[#This Row],[📂 Categoria]]," ","_"))</f>
        <v/>
      </c>
    </row>
    <row r="841" spans="1:9">
      <c r="H841" t="str">
        <f>IF(tbCartoes[[#This Row],[📂 Categoria]]="","",SUBSTITUTE(tbCartoes[[#This Row],[📂 Categoria]]," ","_"))</f>
        <v/>
      </c>
    </row>
    <row r="842" spans="1:9">
      <c r="H842" t="str">
        <f>IF(tbCartoes[[#This Row],[📂 Categoria]]="","",SUBSTITUTE(tbCartoes[[#This Row],[📂 Categoria]]," ","_"))</f>
        <v/>
      </c>
    </row>
    <row r="843" spans="1:9">
      <c r="H843" t="str">
        <f>IF(tbCartoes[[#This Row],[📂 Categoria]]="","",SUBSTITUTE(tbCartoes[[#This Row],[📂 Categoria]]," ","_"))</f>
        <v/>
      </c>
    </row>
    <row r="844" spans="1:9">
      <c r="H844" t="str">
        <f>IF(tbCartoes[[#This Row],[📂 Categoria]]="","",SUBSTITUTE(tbCartoes[[#This Row],[📂 Categoria]]," ","_"))</f>
        <v/>
      </c>
    </row>
    <row r="845" spans="1:9">
      <c r="H845" t="str">
        <f>IF(tbCartoes[[#This Row],[📂 Categoria]]="","",SUBSTITUTE(tbCartoes[[#This Row],[📂 Categoria]]," ","_"))</f>
        <v/>
      </c>
    </row>
    <row r="846" spans="1:9">
      <c r="H846" t="str">
        <f>IF(tbCartoes[[#This Row],[📂 Categoria]]="","",SUBSTITUTE(tbCartoes[[#This Row],[📂 Categoria]]," ","_"))</f>
        <v/>
      </c>
    </row>
    <row r="847" spans="1:9">
      <c r="H847" t="str">
        <f>IF(tbCartoes[[#This Row],[📂 Categoria]]="","",SUBSTITUTE(tbCartoes[[#This Row],[📂 Categoria]]," ","_"))</f>
        <v/>
      </c>
    </row>
    <row r="848" spans="1:9">
      <c r="H848" t="str">
        <f>IF(tbCartoes[[#This Row],[📂 Categoria]]="","",SUBSTITUTE(tbCartoes[[#This Row],[📂 Categoria]]," ","_"))</f>
        <v/>
      </c>
    </row>
    <row r="849" spans="8:8">
      <c r="H849" t="str">
        <f>IF(tbCartoes[[#This Row],[📂 Categoria]]="","",SUBSTITUTE(tbCartoes[[#This Row],[📂 Categoria]]," ","_"))</f>
        <v/>
      </c>
    </row>
    <row r="850" spans="8:8">
      <c r="H850" t="str">
        <f>IF(tbCartoes[[#This Row],[📂 Categoria]]="","",SUBSTITUTE(tbCartoes[[#This Row],[📂 Categoria]]," ","_"))</f>
        <v/>
      </c>
    </row>
    <row r="851" spans="8:8">
      <c r="H851" t="str">
        <f>IF(tbCartoes[[#This Row],[📂 Categoria]]="","",SUBSTITUTE(tbCartoes[[#This Row],[📂 Categoria]]," ","_"))</f>
        <v/>
      </c>
    </row>
    <row r="852" spans="8:8">
      <c r="H852" t="str">
        <f>IF(tbCartoes[[#This Row],[📂 Categoria]]="","",SUBSTITUTE(tbCartoes[[#This Row],[📂 Categoria]]," ","_"))</f>
        <v/>
      </c>
    </row>
    <row r="853" spans="8:8">
      <c r="H853" t="str">
        <f>IF(tbCartoes[[#This Row],[📂 Categoria]]="","",SUBSTITUTE(tbCartoes[[#This Row],[📂 Categoria]]," ","_"))</f>
        <v/>
      </c>
    </row>
    <row r="854" spans="8:8">
      <c r="H854" t="str">
        <f>IF(tbCartoes[[#This Row],[📂 Categoria]]="","",SUBSTITUTE(tbCartoes[[#This Row],[📂 Categoria]]," ","_"))</f>
        <v/>
      </c>
    </row>
    <row r="855" spans="8:8">
      <c r="H855" t="str">
        <f>IF(tbCartoes[[#This Row],[📂 Categoria]]="","",SUBSTITUTE(tbCartoes[[#This Row],[📂 Categoria]]," ","_"))</f>
        <v/>
      </c>
    </row>
    <row r="856" spans="8:8">
      <c r="H856" t="str">
        <f>IF(tbCartoes[[#This Row],[📂 Categoria]]="","",SUBSTITUTE(tbCartoes[[#This Row],[📂 Categoria]]," ","_"))</f>
        <v/>
      </c>
    </row>
    <row r="857" spans="8:8">
      <c r="H857" t="str">
        <f>IF(tbCartoes[[#This Row],[📂 Categoria]]="","",SUBSTITUTE(tbCartoes[[#This Row],[📂 Categoria]]," ","_"))</f>
        <v/>
      </c>
    </row>
    <row r="858" spans="8:8">
      <c r="H858" t="str">
        <f>IF(tbCartoes[[#This Row],[📂 Categoria]]="","",SUBSTITUTE(tbCartoes[[#This Row],[📂 Categoria]]," ","_"))</f>
        <v/>
      </c>
    </row>
    <row r="859" spans="8:8">
      <c r="H859" t="str">
        <f>IF(tbCartoes[[#This Row],[📂 Categoria]]="","",SUBSTITUTE(tbCartoes[[#This Row],[📂 Categoria]]," ","_"))</f>
        <v/>
      </c>
    </row>
    <row r="860" spans="8:8">
      <c r="H860" t="str">
        <f>IF(tbCartoes[[#This Row],[📂 Categoria]]="","",SUBSTITUTE(tbCartoes[[#This Row],[📂 Categoria]]," ","_"))</f>
        <v/>
      </c>
    </row>
    <row r="861" spans="8:8">
      <c r="H861" t="str">
        <f>IF(tbCartoes[[#This Row],[📂 Categoria]]="","",SUBSTITUTE(tbCartoes[[#This Row],[📂 Categoria]]," ","_"))</f>
        <v/>
      </c>
    </row>
    <row r="862" spans="8:8">
      <c r="H862" t="str">
        <f>IF(tbCartoes[[#This Row],[📂 Categoria]]="","",SUBSTITUTE(tbCartoes[[#This Row],[📂 Categoria]]," ","_"))</f>
        <v/>
      </c>
    </row>
    <row r="863" spans="8:8">
      <c r="H863" t="str">
        <f>IF(tbCartoes[[#This Row],[📂 Categoria]]="","",SUBSTITUTE(tbCartoes[[#This Row],[📂 Categoria]]," ","_"))</f>
        <v/>
      </c>
    </row>
    <row r="864" spans="8:8">
      <c r="H864" t="str">
        <f>IF(tbCartoes[[#This Row],[📂 Categoria]]="","",SUBSTITUTE(tbCartoes[[#This Row],[📂 Categoria]]," ","_"))</f>
        <v/>
      </c>
    </row>
    <row r="865" spans="8:8">
      <c r="H865" t="str">
        <f>IF(tbCartoes[[#This Row],[📂 Categoria]]="","",SUBSTITUTE(tbCartoes[[#This Row],[📂 Categoria]]," ","_"))</f>
        <v/>
      </c>
    </row>
    <row r="866" spans="8:8">
      <c r="H866" t="str">
        <f>IF(tbCartoes[[#This Row],[📂 Categoria]]="","",SUBSTITUTE(tbCartoes[[#This Row],[📂 Categoria]]," ","_"))</f>
        <v/>
      </c>
    </row>
    <row r="867" spans="8:8">
      <c r="H867" t="str">
        <f>IF(tbCartoes[[#This Row],[📂 Categoria]]="","",SUBSTITUTE(tbCartoes[[#This Row],[📂 Categoria]]," ","_"))</f>
        <v/>
      </c>
    </row>
    <row r="868" spans="8:8">
      <c r="H868" t="str">
        <f>IF(tbCartoes[[#This Row],[📂 Categoria]]="","",SUBSTITUTE(tbCartoes[[#This Row],[📂 Categoria]]," ","_"))</f>
        <v/>
      </c>
    </row>
    <row r="869" spans="8:8">
      <c r="H869" t="str">
        <f>IF(tbCartoes[[#This Row],[📂 Categoria]]="","",SUBSTITUTE(tbCartoes[[#This Row],[📂 Categoria]]," ","_"))</f>
        <v/>
      </c>
    </row>
    <row r="870" spans="8:8">
      <c r="H870" t="str">
        <f>IF(tbCartoes[[#This Row],[📂 Categoria]]="","",SUBSTITUTE(tbCartoes[[#This Row],[📂 Categoria]]," ","_"))</f>
        <v/>
      </c>
    </row>
    <row r="871" spans="8:8">
      <c r="H871" t="str">
        <f>IF(tbCartoes[[#This Row],[📂 Categoria]]="","",SUBSTITUTE(tbCartoes[[#This Row],[📂 Categoria]]," ","_"))</f>
        <v/>
      </c>
    </row>
    <row r="872" spans="8:8">
      <c r="H872" t="str">
        <f>IF(tbCartoes[[#This Row],[📂 Categoria]]="","",SUBSTITUTE(tbCartoes[[#This Row],[📂 Categoria]]," ","_"))</f>
        <v/>
      </c>
    </row>
    <row r="873" spans="8:8">
      <c r="H873" t="str">
        <f>IF(tbCartoes[[#This Row],[📂 Categoria]]="","",SUBSTITUTE(tbCartoes[[#This Row],[📂 Categoria]]," ","_"))</f>
        <v/>
      </c>
    </row>
    <row r="874" spans="8:8">
      <c r="H874" t="str">
        <f>IF(tbCartoes[[#This Row],[📂 Categoria]]="","",SUBSTITUTE(tbCartoes[[#This Row],[📂 Categoria]]," ","_"))</f>
        <v/>
      </c>
    </row>
    <row r="875" spans="8:8">
      <c r="H875" t="str">
        <f>IF(tbCartoes[[#This Row],[📂 Categoria]]="","",SUBSTITUTE(tbCartoes[[#This Row],[📂 Categoria]]," ","_"))</f>
        <v/>
      </c>
    </row>
    <row r="876" spans="8:8">
      <c r="H876" t="str">
        <f>IF(tbCartoes[[#This Row],[📂 Categoria]]="","",SUBSTITUTE(tbCartoes[[#This Row],[📂 Categoria]]," ","_"))</f>
        <v/>
      </c>
    </row>
    <row r="877" spans="8:8">
      <c r="H877" t="str">
        <f>IF(tbCartoes[[#This Row],[📂 Categoria]]="","",SUBSTITUTE(tbCartoes[[#This Row],[📂 Categoria]]," ","_"))</f>
        <v/>
      </c>
    </row>
    <row r="878" spans="8:8">
      <c r="H878" t="str">
        <f>IF(tbCartoes[[#This Row],[📂 Categoria]]="","",SUBSTITUTE(tbCartoes[[#This Row],[📂 Categoria]]," ","_"))</f>
        <v/>
      </c>
    </row>
    <row r="879" spans="8:8">
      <c r="H879" t="str">
        <f>IF(tbCartoes[[#This Row],[📂 Categoria]]="","",SUBSTITUTE(tbCartoes[[#This Row],[📂 Categoria]]," ","_"))</f>
        <v/>
      </c>
    </row>
    <row r="880" spans="8:8">
      <c r="H880" t="str">
        <f>IF(tbCartoes[[#This Row],[📂 Categoria]]="","",SUBSTITUTE(tbCartoes[[#This Row],[📂 Categoria]]," ","_"))</f>
        <v/>
      </c>
    </row>
    <row r="881" spans="8:8">
      <c r="H881" t="str">
        <f>IF(tbCartoes[[#This Row],[📂 Categoria]]="","",SUBSTITUTE(tbCartoes[[#This Row],[📂 Categoria]]," ","_"))</f>
        <v/>
      </c>
    </row>
    <row r="882" spans="8:8">
      <c r="H882" t="str">
        <f>IF(tbCartoes[[#This Row],[📂 Categoria]]="","",SUBSTITUTE(tbCartoes[[#This Row],[📂 Categoria]]," ","_"))</f>
        <v/>
      </c>
    </row>
    <row r="883" spans="8:8">
      <c r="H883" t="str">
        <f>IF(tbCartoes[[#This Row],[📂 Categoria]]="","",SUBSTITUTE(tbCartoes[[#This Row],[📂 Categoria]]," ","_"))</f>
        <v/>
      </c>
    </row>
    <row r="884" spans="8:8">
      <c r="H884" t="str">
        <f>IF(tbCartoes[[#This Row],[📂 Categoria]]="","",SUBSTITUTE(tbCartoes[[#This Row],[📂 Categoria]]," ","_"))</f>
        <v/>
      </c>
    </row>
    <row r="885" spans="8:8">
      <c r="H885" t="str">
        <f>IF(tbCartoes[[#This Row],[📂 Categoria]]="","",SUBSTITUTE(tbCartoes[[#This Row],[📂 Categoria]]," ","_"))</f>
        <v/>
      </c>
    </row>
    <row r="886" spans="8:8">
      <c r="H886" t="str">
        <f>IF(tbCartoes[[#This Row],[📂 Categoria]]="","",SUBSTITUTE(tbCartoes[[#This Row],[📂 Categoria]]," ","_"))</f>
        <v/>
      </c>
    </row>
    <row r="887" spans="8:8">
      <c r="H887" t="str">
        <f>IF(tbCartoes[[#This Row],[📂 Categoria]]="","",SUBSTITUTE(tbCartoes[[#This Row],[📂 Categoria]]," ","_"))</f>
        <v/>
      </c>
    </row>
    <row r="888" spans="8:8">
      <c r="H888" t="str">
        <f>IF(tbCartoes[[#This Row],[📂 Categoria]]="","",SUBSTITUTE(tbCartoes[[#This Row],[📂 Categoria]]," ","_"))</f>
        <v/>
      </c>
    </row>
    <row r="889" spans="8:8">
      <c r="H889" t="str">
        <f>IF(tbCartoes[[#This Row],[📂 Categoria]]="","",SUBSTITUTE(tbCartoes[[#This Row],[📂 Categoria]]," ","_"))</f>
        <v/>
      </c>
    </row>
    <row r="890" spans="8:8">
      <c r="H890" t="str">
        <f>IF(tbCartoes[[#This Row],[📂 Categoria]]="","",SUBSTITUTE(tbCartoes[[#This Row],[📂 Categoria]]," ","_"))</f>
        <v/>
      </c>
    </row>
    <row r="891" spans="8:8">
      <c r="H891" t="str">
        <f>IF(tbCartoes[[#This Row],[📂 Categoria]]="","",SUBSTITUTE(tbCartoes[[#This Row],[📂 Categoria]]," ","_"))</f>
        <v/>
      </c>
    </row>
    <row r="892" spans="8:8">
      <c r="H892" t="str">
        <f>IF(tbCartoes[[#This Row],[📂 Categoria]]="","",SUBSTITUTE(tbCartoes[[#This Row],[📂 Categoria]]," ","_"))</f>
        <v/>
      </c>
    </row>
    <row r="893" spans="8:8">
      <c r="H893" t="str">
        <f>IF(tbCartoes[[#This Row],[📂 Categoria]]="","",SUBSTITUTE(tbCartoes[[#This Row],[📂 Categoria]]," ","_"))</f>
        <v/>
      </c>
    </row>
    <row r="894" spans="8:8">
      <c r="H894" t="str">
        <f>IF(tbCartoes[[#This Row],[📂 Categoria]]="","",SUBSTITUTE(tbCartoes[[#This Row],[📂 Categoria]]," ","_"))</f>
        <v/>
      </c>
    </row>
    <row r="895" spans="8:8">
      <c r="H895" t="str">
        <f>IF(tbCartoes[[#This Row],[📂 Categoria]]="","",SUBSTITUTE(tbCartoes[[#This Row],[📂 Categoria]]," ","_"))</f>
        <v/>
      </c>
    </row>
    <row r="896" spans="8:8">
      <c r="H896" t="str">
        <f>IF(tbCartoes[[#This Row],[📂 Categoria]]="","",SUBSTITUTE(tbCartoes[[#This Row],[📂 Categoria]]," ","_"))</f>
        <v/>
      </c>
    </row>
    <row r="897" spans="8:8">
      <c r="H897" t="str">
        <f>IF(tbCartoes[[#This Row],[📂 Categoria]]="","",SUBSTITUTE(tbCartoes[[#This Row],[📂 Categoria]]," ","_"))</f>
        <v/>
      </c>
    </row>
    <row r="898" spans="8:8">
      <c r="H898" t="str">
        <f>IF(tbCartoes[[#This Row],[📂 Categoria]]="","",SUBSTITUTE(tbCartoes[[#This Row],[📂 Categoria]]," ","_"))</f>
        <v/>
      </c>
    </row>
    <row r="899" spans="8:8">
      <c r="H899" t="str">
        <f>IF(tbCartoes[[#This Row],[📂 Categoria]]="","",SUBSTITUTE(tbCartoes[[#This Row],[📂 Categoria]]," ","_"))</f>
        <v/>
      </c>
    </row>
    <row r="900" spans="8:8">
      <c r="H900" t="str">
        <f>IF(tbCartoes[[#This Row],[📂 Categoria]]="","",SUBSTITUTE(tbCartoes[[#This Row],[📂 Categoria]]," ","_"))</f>
        <v/>
      </c>
    </row>
    <row r="901" spans="8:8">
      <c r="H901" t="str">
        <f>IF(tbCartoes[[#This Row],[📂 Categoria]]="","",SUBSTITUTE(tbCartoes[[#This Row],[📂 Categoria]]," ","_"))</f>
        <v/>
      </c>
    </row>
    <row r="902" spans="8:8">
      <c r="H902" t="str">
        <f>IF(tbCartoes[[#This Row],[📂 Categoria]]="","",SUBSTITUTE(tbCartoes[[#This Row],[📂 Categoria]]," ","_"))</f>
        <v/>
      </c>
    </row>
    <row r="903" spans="8:8">
      <c r="H903" t="str">
        <f>IF(tbCartoes[[#This Row],[📂 Categoria]]="","",SUBSTITUTE(tbCartoes[[#This Row],[📂 Categoria]]," ","_"))</f>
        <v/>
      </c>
    </row>
    <row r="904" spans="8:8">
      <c r="H904" t="str">
        <f>IF(tbCartoes[[#This Row],[📂 Categoria]]="","",SUBSTITUTE(tbCartoes[[#This Row],[📂 Categoria]]," ","_"))</f>
        <v/>
      </c>
    </row>
    <row r="905" spans="8:8">
      <c r="H905" t="str">
        <f>IF(tbCartoes[[#This Row],[📂 Categoria]]="","",SUBSTITUTE(tbCartoes[[#This Row],[📂 Categoria]]," ","_"))</f>
        <v/>
      </c>
    </row>
    <row r="906" spans="8:8">
      <c r="H906" t="str">
        <f>IF(tbCartoes[[#This Row],[📂 Categoria]]="","",SUBSTITUTE(tbCartoes[[#This Row],[📂 Categoria]]," ","_"))</f>
        <v/>
      </c>
    </row>
    <row r="907" spans="8:8">
      <c r="H907" t="str">
        <f>IF(tbCartoes[[#This Row],[📂 Categoria]]="","",SUBSTITUTE(tbCartoes[[#This Row],[📂 Categoria]]," ","_"))</f>
        <v/>
      </c>
    </row>
    <row r="908" spans="8:8">
      <c r="H908" t="str">
        <f>IF(tbCartoes[[#This Row],[📂 Categoria]]="","",SUBSTITUTE(tbCartoes[[#This Row],[📂 Categoria]]," ","_"))</f>
        <v/>
      </c>
    </row>
    <row r="909" spans="8:8">
      <c r="H909" t="str">
        <f>IF(tbCartoes[[#This Row],[📂 Categoria]]="","",SUBSTITUTE(tbCartoes[[#This Row],[📂 Categoria]]," ","_"))</f>
        <v/>
      </c>
    </row>
    <row r="910" spans="8:8">
      <c r="H910" t="str">
        <f>IF(tbCartoes[[#This Row],[📂 Categoria]]="","",SUBSTITUTE(tbCartoes[[#This Row],[📂 Categoria]]," ","_"))</f>
        <v/>
      </c>
    </row>
    <row r="911" spans="8:8">
      <c r="H911" t="str">
        <f>IF(tbCartoes[[#This Row],[📂 Categoria]]="","",SUBSTITUTE(tbCartoes[[#This Row],[📂 Categoria]]," ","_"))</f>
        <v/>
      </c>
    </row>
    <row r="912" spans="8:8">
      <c r="H912" t="str">
        <f>IF(tbCartoes[[#This Row],[📂 Categoria]]="","",SUBSTITUTE(tbCartoes[[#This Row],[📂 Categoria]]," ","_"))</f>
        <v/>
      </c>
    </row>
    <row r="913" spans="8:8">
      <c r="H913" t="str">
        <f>IF(tbCartoes[[#This Row],[📂 Categoria]]="","",SUBSTITUTE(tbCartoes[[#This Row],[📂 Categoria]]," ","_"))</f>
        <v/>
      </c>
    </row>
    <row r="914" spans="8:8">
      <c r="H914" t="str">
        <f>IF(tbCartoes[[#This Row],[📂 Categoria]]="","",SUBSTITUTE(tbCartoes[[#This Row],[📂 Categoria]]," ","_"))</f>
        <v/>
      </c>
    </row>
    <row r="915" spans="8:8">
      <c r="H915" t="str">
        <f>IF(tbCartoes[[#This Row],[📂 Categoria]]="","",SUBSTITUTE(tbCartoes[[#This Row],[📂 Categoria]]," ","_"))</f>
        <v/>
      </c>
    </row>
    <row r="916" spans="8:8">
      <c r="H916" t="str">
        <f>IF(tbCartoes[[#This Row],[📂 Categoria]]="","",SUBSTITUTE(tbCartoes[[#This Row],[📂 Categoria]]," ","_"))</f>
        <v/>
      </c>
    </row>
    <row r="917" spans="8:8">
      <c r="H917" t="str">
        <f>IF(tbCartoes[[#This Row],[📂 Categoria]]="","",SUBSTITUTE(tbCartoes[[#This Row],[📂 Categoria]]," ","_"))</f>
        <v/>
      </c>
    </row>
    <row r="918" spans="8:8">
      <c r="H918" t="str">
        <f>IF(tbCartoes[[#This Row],[📂 Categoria]]="","",SUBSTITUTE(tbCartoes[[#This Row],[📂 Categoria]]," ","_"))</f>
        <v/>
      </c>
    </row>
    <row r="919" spans="8:8">
      <c r="H919" t="str">
        <f>IF(tbCartoes[[#This Row],[📂 Categoria]]="","",SUBSTITUTE(tbCartoes[[#This Row],[📂 Categoria]]," ","_"))</f>
        <v/>
      </c>
    </row>
    <row r="920" spans="8:8">
      <c r="H920" t="str">
        <f>IF(tbCartoes[[#This Row],[📂 Categoria]]="","",SUBSTITUTE(tbCartoes[[#This Row],[📂 Categoria]]," ","_"))</f>
        <v/>
      </c>
    </row>
    <row r="921" spans="8:8">
      <c r="H921" t="str">
        <f>IF(tbCartoes[[#This Row],[📂 Categoria]]="","",SUBSTITUTE(tbCartoes[[#This Row],[📂 Categoria]]," ","_"))</f>
        <v/>
      </c>
    </row>
    <row r="922" spans="8:8">
      <c r="H922" t="str">
        <f>IF(tbCartoes[[#This Row],[📂 Categoria]]="","",SUBSTITUTE(tbCartoes[[#This Row],[📂 Categoria]]," ","_"))</f>
        <v/>
      </c>
    </row>
    <row r="923" spans="8:8">
      <c r="H923" t="str">
        <f>IF(tbCartoes[[#This Row],[📂 Categoria]]="","",SUBSTITUTE(tbCartoes[[#This Row],[📂 Categoria]]," ","_"))</f>
        <v/>
      </c>
    </row>
    <row r="924" spans="8:8">
      <c r="H924" t="str">
        <f>IF(tbCartoes[[#This Row],[📂 Categoria]]="","",SUBSTITUTE(tbCartoes[[#This Row],[📂 Categoria]]," ","_"))</f>
        <v/>
      </c>
    </row>
    <row r="925" spans="8:8">
      <c r="H925" t="str">
        <f>IF(tbCartoes[[#This Row],[📂 Categoria]]="","",SUBSTITUTE(tbCartoes[[#This Row],[📂 Categoria]]," ","_"))</f>
        <v/>
      </c>
    </row>
    <row r="926" spans="8:8">
      <c r="H926" t="str">
        <f>IF(tbCartoes[[#This Row],[📂 Categoria]]="","",SUBSTITUTE(tbCartoes[[#This Row],[📂 Categoria]]," ","_"))</f>
        <v/>
      </c>
    </row>
    <row r="927" spans="8:8">
      <c r="H927" t="str">
        <f>IF(tbCartoes[[#This Row],[📂 Categoria]]="","",SUBSTITUTE(tbCartoes[[#This Row],[📂 Categoria]]," ","_"))</f>
        <v/>
      </c>
    </row>
    <row r="928" spans="8:8">
      <c r="H928" t="str">
        <f>IF(tbCartoes[[#This Row],[📂 Categoria]]="","",SUBSTITUTE(tbCartoes[[#This Row],[📂 Categoria]]," ","_"))</f>
        <v/>
      </c>
    </row>
    <row r="929" spans="8:8">
      <c r="H929" t="str">
        <f>IF(tbCartoes[[#This Row],[📂 Categoria]]="","",SUBSTITUTE(tbCartoes[[#This Row],[📂 Categoria]]," ","_"))</f>
        <v/>
      </c>
    </row>
    <row r="930" spans="8:8">
      <c r="H930" t="str">
        <f>IF(tbCartoes[[#This Row],[📂 Categoria]]="","",SUBSTITUTE(tbCartoes[[#This Row],[📂 Categoria]]," ","_"))</f>
        <v/>
      </c>
    </row>
    <row r="931" spans="8:8">
      <c r="H931" t="str">
        <f>IF(tbCartoes[[#This Row],[📂 Categoria]]="","",SUBSTITUTE(tbCartoes[[#This Row],[📂 Categoria]]," ","_"))</f>
        <v/>
      </c>
    </row>
    <row r="932" spans="8:8">
      <c r="H932" t="str">
        <f>IF(tbCartoes[[#This Row],[📂 Categoria]]="","",SUBSTITUTE(tbCartoes[[#This Row],[📂 Categoria]]," ","_"))</f>
        <v/>
      </c>
    </row>
    <row r="933" spans="8:8">
      <c r="H933" t="str">
        <f>IF(tbCartoes[[#This Row],[📂 Categoria]]="","",SUBSTITUTE(tbCartoes[[#This Row],[📂 Categoria]]," ","_"))</f>
        <v/>
      </c>
    </row>
    <row r="934" spans="8:8">
      <c r="H934" t="str">
        <f>IF(tbCartoes[[#This Row],[📂 Categoria]]="","",SUBSTITUTE(tbCartoes[[#This Row],[📂 Categoria]]," ","_"))</f>
        <v/>
      </c>
    </row>
    <row r="935" spans="8:8">
      <c r="H935" t="str">
        <f>IF(tbCartoes[[#This Row],[📂 Categoria]]="","",SUBSTITUTE(tbCartoes[[#This Row],[📂 Categoria]]," ","_"))</f>
        <v/>
      </c>
    </row>
    <row r="936" spans="8:8">
      <c r="H936" t="str">
        <f>IF(tbCartoes[[#This Row],[📂 Categoria]]="","",SUBSTITUTE(tbCartoes[[#This Row],[📂 Categoria]]," ","_"))</f>
        <v/>
      </c>
    </row>
    <row r="937" spans="8:8">
      <c r="H937" t="str">
        <f>IF(tbCartoes[[#This Row],[📂 Categoria]]="","",SUBSTITUTE(tbCartoes[[#This Row],[📂 Categoria]]," ","_"))</f>
        <v/>
      </c>
    </row>
    <row r="938" spans="8:8">
      <c r="H938" t="str">
        <f>IF(tbCartoes[[#This Row],[📂 Categoria]]="","",SUBSTITUTE(tbCartoes[[#This Row],[📂 Categoria]]," ","_"))</f>
        <v/>
      </c>
    </row>
    <row r="939" spans="8:8">
      <c r="H939" t="str">
        <f>IF(tbCartoes[[#This Row],[📂 Categoria]]="","",SUBSTITUTE(tbCartoes[[#This Row],[📂 Categoria]]," ","_"))</f>
        <v/>
      </c>
    </row>
    <row r="940" spans="8:8">
      <c r="H940" t="str">
        <f>IF(tbCartoes[[#This Row],[📂 Categoria]]="","",SUBSTITUTE(tbCartoes[[#This Row],[📂 Categoria]]," ","_"))</f>
        <v/>
      </c>
    </row>
    <row r="941" spans="8:8">
      <c r="H941" t="str">
        <f>IF(tbCartoes[[#This Row],[📂 Categoria]]="","",SUBSTITUTE(tbCartoes[[#This Row],[📂 Categoria]]," ","_"))</f>
        <v/>
      </c>
    </row>
    <row r="942" spans="8:8">
      <c r="H942" t="str">
        <f>IF(tbCartoes[[#This Row],[📂 Categoria]]="","",SUBSTITUTE(tbCartoes[[#This Row],[📂 Categoria]]," ","_"))</f>
        <v/>
      </c>
    </row>
    <row r="943" spans="8:8">
      <c r="H943" t="str">
        <f>IF(tbCartoes[[#This Row],[📂 Categoria]]="","",SUBSTITUTE(tbCartoes[[#This Row],[📂 Categoria]]," ","_"))</f>
        <v/>
      </c>
    </row>
    <row r="944" spans="8:8">
      <c r="H944" t="str">
        <f>IF(tbCartoes[[#This Row],[📂 Categoria]]="","",SUBSTITUTE(tbCartoes[[#This Row],[📂 Categoria]]," ","_"))</f>
        <v/>
      </c>
    </row>
    <row r="945" spans="8:8">
      <c r="H945" t="str">
        <f>IF(tbCartoes[[#This Row],[📂 Categoria]]="","",SUBSTITUTE(tbCartoes[[#This Row],[📂 Categoria]]," ","_"))</f>
        <v/>
      </c>
    </row>
    <row r="946" spans="8:8">
      <c r="H946" t="str">
        <f>IF(tbCartoes[[#This Row],[📂 Categoria]]="","",SUBSTITUTE(tbCartoes[[#This Row],[📂 Categoria]]," ","_"))</f>
        <v/>
      </c>
    </row>
    <row r="947" spans="8:8">
      <c r="H947" t="str">
        <f>IF(tbCartoes[[#This Row],[📂 Categoria]]="","",SUBSTITUTE(tbCartoes[[#This Row],[📂 Categoria]]," ","_"))</f>
        <v/>
      </c>
    </row>
    <row r="948" spans="8:8">
      <c r="H948" t="str">
        <f>IF(tbCartoes[[#This Row],[📂 Categoria]]="","",SUBSTITUTE(tbCartoes[[#This Row],[📂 Categoria]]," ","_"))</f>
        <v/>
      </c>
    </row>
    <row r="949" spans="8:8">
      <c r="H949" t="str">
        <f>IF(tbCartoes[[#This Row],[📂 Categoria]]="","",SUBSTITUTE(tbCartoes[[#This Row],[📂 Categoria]]," ","_"))</f>
        <v/>
      </c>
    </row>
    <row r="950" spans="8:8">
      <c r="H950" t="str">
        <f>IF(tbCartoes[[#This Row],[📂 Categoria]]="","",SUBSTITUTE(tbCartoes[[#This Row],[📂 Categoria]]," ","_"))</f>
        <v/>
      </c>
    </row>
    <row r="951" spans="8:8">
      <c r="H951" t="str">
        <f>IF(tbCartoes[[#This Row],[📂 Categoria]]="","",SUBSTITUTE(tbCartoes[[#This Row],[📂 Categoria]]," ","_"))</f>
        <v/>
      </c>
    </row>
    <row r="952" spans="8:8">
      <c r="H952" t="str">
        <f>IF(tbCartoes[[#This Row],[📂 Categoria]]="","",SUBSTITUTE(tbCartoes[[#This Row],[📂 Categoria]]," ","_"))</f>
        <v/>
      </c>
    </row>
    <row r="953" spans="8:8">
      <c r="H953" t="str">
        <f>IF(tbCartoes[[#This Row],[📂 Categoria]]="","",SUBSTITUTE(tbCartoes[[#This Row],[📂 Categoria]]," ","_"))</f>
        <v/>
      </c>
    </row>
    <row r="954" spans="8:8">
      <c r="H954" t="str">
        <f>IF(tbCartoes[[#This Row],[📂 Categoria]]="","",SUBSTITUTE(tbCartoes[[#This Row],[📂 Categoria]]," ","_"))</f>
        <v/>
      </c>
    </row>
    <row r="955" spans="8:8">
      <c r="H955" t="str">
        <f>IF(tbCartoes[[#This Row],[📂 Categoria]]="","",SUBSTITUTE(tbCartoes[[#This Row],[📂 Categoria]]," ","_"))</f>
        <v/>
      </c>
    </row>
    <row r="956" spans="8:8">
      <c r="H956" t="str">
        <f>IF(tbCartoes[[#This Row],[📂 Categoria]]="","",SUBSTITUTE(tbCartoes[[#This Row],[📂 Categoria]]," ","_"))</f>
        <v/>
      </c>
    </row>
    <row r="957" spans="8:8">
      <c r="H957" t="str">
        <f>IF(tbCartoes[[#This Row],[📂 Categoria]]="","",SUBSTITUTE(tbCartoes[[#This Row],[📂 Categoria]]," ","_"))</f>
        <v/>
      </c>
    </row>
    <row r="958" spans="8:8">
      <c r="H958" t="str">
        <f>IF(tbCartoes[[#This Row],[📂 Categoria]]="","",SUBSTITUTE(tbCartoes[[#This Row],[📂 Categoria]]," ","_"))</f>
        <v/>
      </c>
    </row>
    <row r="959" spans="8:8">
      <c r="H959" t="str">
        <f>IF(tbCartoes[[#This Row],[📂 Categoria]]="","",SUBSTITUTE(tbCartoes[[#This Row],[📂 Categoria]]," ","_"))</f>
        <v/>
      </c>
    </row>
    <row r="960" spans="8:8">
      <c r="H960" t="str">
        <f>IF(tbCartoes[[#This Row],[📂 Categoria]]="","",SUBSTITUTE(tbCartoes[[#This Row],[📂 Categoria]]," ","_"))</f>
        <v/>
      </c>
    </row>
    <row r="961" spans="8:8">
      <c r="H961" t="str">
        <f>IF(tbCartoes[[#This Row],[📂 Categoria]]="","",SUBSTITUTE(tbCartoes[[#This Row],[📂 Categoria]]," ","_"))</f>
        <v/>
      </c>
    </row>
    <row r="962" spans="8:8">
      <c r="H962" t="str">
        <f>IF(tbCartoes[[#This Row],[📂 Categoria]]="","",SUBSTITUTE(tbCartoes[[#This Row],[📂 Categoria]]," ","_"))</f>
        <v/>
      </c>
    </row>
    <row r="963" spans="8:8">
      <c r="H963" t="str">
        <f>IF(tbCartoes[[#This Row],[📂 Categoria]]="","",SUBSTITUTE(tbCartoes[[#This Row],[📂 Categoria]]," ","_"))</f>
        <v/>
      </c>
    </row>
    <row r="964" spans="8:8">
      <c r="H964" t="str">
        <f>IF(tbCartoes[[#This Row],[📂 Categoria]]="","",SUBSTITUTE(tbCartoes[[#This Row],[📂 Categoria]]," ","_"))</f>
        <v/>
      </c>
    </row>
    <row r="965" spans="8:8">
      <c r="H965" t="str">
        <f>IF(tbCartoes[[#This Row],[📂 Categoria]]="","",SUBSTITUTE(tbCartoes[[#This Row],[📂 Categoria]]," ","_"))</f>
        <v/>
      </c>
    </row>
    <row r="966" spans="8:8">
      <c r="H966" t="str">
        <f>IF(tbCartoes[[#This Row],[📂 Categoria]]="","",SUBSTITUTE(tbCartoes[[#This Row],[📂 Categoria]]," ","_"))</f>
        <v/>
      </c>
    </row>
    <row r="967" spans="8:8">
      <c r="H967" t="str">
        <f>IF(tbCartoes[[#This Row],[📂 Categoria]]="","",SUBSTITUTE(tbCartoes[[#This Row],[📂 Categoria]]," ","_"))</f>
        <v/>
      </c>
    </row>
    <row r="968" spans="8:8">
      <c r="H968" t="str">
        <f>IF(tbCartoes[[#This Row],[📂 Categoria]]="","",SUBSTITUTE(tbCartoes[[#This Row],[📂 Categoria]]," ","_"))</f>
        <v/>
      </c>
    </row>
    <row r="969" spans="8:8">
      <c r="H969" t="str">
        <f>IF(tbCartoes[[#This Row],[📂 Categoria]]="","",SUBSTITUTE(tbCartoes[[#This Row],[📂 Categoria]]," ","_"))</f>
        <v/>
      </c>
    </row>
    <row r="970" spans="8:8">
      <c r="H970" t="str">
        <f>IF(tbCartoes[[#This Row],[📂 Categoria]]="","",SUBSTITUTE(tbCartoes[[#This Row],[📂 Categoria]]," ","_"))</f>
        <v/>
      </c>
    </row>
    <row r="971" spans="8:8">
      <c r="H971" t="str">
        <f>IF(tbCartoes[[#This Row],[📂 Categoria]]="","",SUBSTITUTE(tbCartoes[[#This Row],[📂 Categoria]]," ","_"))</f>
        <v/>
      </c>
    </row>
    <row r="972" spans="8:8">
      <c r="H972" t="str">
        <f>IF(tbCartoes[[#This Row],[📂 Categoria]]="","",SUBSTITUTE(tbCartoes[[#This Row],[📂 Categoria]]," ","_"))</f>
        <v/>
      </c>
    </row>
    <row r="973" spans="8:8">
      <c r="H973" t="str">
        <f>IF(tbCartoes[[#This Row],[📂 Categoria]]="","",SUBSTITUTE(tbCartoes[[#This Row],[📂 Categoria]]," ","_"))</f>
        <v/>
      </c>
    </row>
    <row r="974" spans="8:8">
      <c r="H974" t="str">
        <f>IF(tbCartoes[[#This Row],[📂 Categoria]]="","",SUBSTITUTE(tbCartoes[[#This Row],[📂 Categoria]]," ","_"))</f>
        <v/>
      </c>
    </row>
    <row r="975" spans="8:8">
      <c r="H975" t="str">
        <f>IF(tbCartoes[[#This Row],[📂 Categoria]]="","",SUBSTITUTE(tbCartoes[[#This Row],[📂 Categoria]]," ","_"))</f>
        <v/>
      </c>
    </row>
    <row r="976" spans="8:8">
      <c r="H976" t="str">
        <f>IF(tbCartoes[[#This Row],[📂 Categoria]]="","",SUBSTITUTE(tbCartoes[[#This Row],[📂 Categoria]]," ","_"))</f>
        <v/>
      </c>
    </row>
    <row r="977" spans="8:8">
      <c r="H977" t="str">
        <f>IF(tbCartoes[[#This Row],[📂 Categoria]]="","",SUBSTITUTE(tbCartoes[[#This Row],[📂 Categoria]]," ","_"))</f>
        <v/>
      </c>
    </row>
    <row r="978" spans="8:8">
      <c r="H978" t="str">
        <f>IF(tbCartoes[[#This Row],[📂 Categoria]]="","",SUBSTITUTE(tbCartoes[[#This Row],[📂 Categoria]]," ","_"))</f>
        <v/>
      </c>
    </row>
    <row r="979" spans="8:8">
      <c r="H979" t="str">
        <f>IF(tbCartoes[[#This Row],[📂 Categoria]]="","",SUBSTITUTE(tbCartoes[[#This Row],[📂 Categoria]]," ","_"))</f>
        <v/>
      </c>
    </row>
    <row r="980" spans="8:8">
      <c r="H980" t="str">
        <f>IF(tbCartoes[[#This Row],[📂 Categoria]]="","",SUBSTITUTE(tbCartoes[[#This Row],[📂 Categoria]]," ","_"))</f>
        <v/>
      </c>
    </row>
    <row r="981" spans="8:8">
      <c r="H981" t="str">
        <f>IF(tbCartoes[[#This Row],[📂 Categoria]]="","",SUBSTITUTE(tbCartoes[[#This Row],[📂 Categoria]]," ","_"))</f>
        <v/>
      </c>
    </row>
    <row r="982" spans="8:8">
      <c r="H982" t="str">
        <f>IF(tbCartoes[[#This Row],[📂 Categoria]]="","",SUBSTITUTE(tbCartoes[[#This Row],[📂 Categoria]]," ","_"))</f>
        <v/>
      </c>
    </row>
    <row r="983" spans="8:8">
      <c r="H983" t="str">
        <f>IF(tbCartoes[[#This Row],[📂 Categoria]]="","",SUBSTITUTE(tbCartoes[[#This Row],[📂 Categoria]]," ","_"))</f>
        <v/>
      </c>
    </row>
    <row r="984" spans="8:8">
      <c r="H984" t="str">
        <f>IF(tbCartoes[[#This Row],[📂 Categoria]]="","",SUBSTITUTE(tbCartoes[[#This Row],[📂 Categoria]]," ","_"))</f>
        <v/>
      </c>
    </row>
    <row r="985" spans="8:8">
      <c r="H985" t="str">
        <f>IF(tbCartoes[[#This Row],[📂 Categoria]]="","",SUBSTITUTE(tbCartoes[[#This Row],[📂 Categoria]]," ","_"))</f>
        <v/>
      </c>
    </row>
    <row r="986" spans="8:8">
      <c r="H986" t="str">
        <f>IF(tbCartoes[[#This Row],[📂 Categoria]]="","",SUBSTITUTE(tbCartoes[[#This Row],[📂 Categoria]]," ","_"))</f>
        <v/>
      </c>
    </row>
    <row r="987" spans="8:8">
      <c r="H987" t="str">
        <f>IF(tbCartoes[[#This Row],[📂 Categoria]]="","",SUBSTITUTE(tbCartoes[[#This Row],[📂 Categoria]]," ","_"))</f>
        <v/>
      </c>
    </row>
    <row r="988" spans="8:8">
      <c r="H988" t="str">
        <f>IF(tbCartoes[[#This Row],[📂 Categoria]]="","",SUBSTITUTE(tbCartoes[[#This Row],[📂 Categoria]]," ","_"))</f>
        <v/>
      </c>
    </row>
    <row r="989" spans="8:8">
      <c r="H989" t="str">
        <f>IF(tbCartoes[[#This Row],[📂 Categoria]]="","",SUBSTITUTE(tbCartoes[[#This Row],[📂 Categoria]]," ","_"))</f>
        <v/>
      </c>
    </row>
    <row r="990" spans="8:8">
      <c r="H990" t="str">
        <f>IF(tbCartoes[[#This Row],[📂 Categoria]]="","",SUBSTITUTE(tbCartoes[[#This Row],[📂 Categoria]]," ","_"))</f>
        <v/>
      </c>
    </row>
    <row r="991" spans="8:8">
      <c r="H991" t="str">
        <f>IF(tbCartoes[[#This Row],[📂 Categoria]]="","",SUBSTITUTE(tbCartoes[[#This Row],[📂 Categoria]]," ","_"))</f>
        <v/>
      </c>
    </row>
    <row r="992" spans="8:8">
      <c r="H992" t="str">
        <f>IF(tbCartoes[[#This Row],[📂 Categoria]]="","",SUBSTITUTE(tbCartoes[[#This Row],[📂 Categoria]]," ","_"))</f>
        <v/>
      </c>
    </row>
    <row r="993" spans="1:8">
      <c r="H993" t="str">
        <f>IF(tbCartoes[[#This Row],[📂 Categoria]]="","",SUBSTITUTE(tbCartoes[[#This Row],[📂 Categoria]]," ","_"))</f>
        <v/>
      </c>
    </row>
    <row r="994" spans="1:8">
      <c r="H994" t="str">
        <f>IF(tbCartoes[[#This Row],[📂 Categoria]]="","",SUBSTITUTE(tbCartoes[[#This Row],[📂 Categoria]]," ","_"))</f>
        <v/>
      </c>
    </row>
    <row r="995" spans="1:8">
      <c r="H995" t="str">
        <f>IF(tbCartoes[[#This Row],[📂 Categoria]]="","",SUBSTITUTE(tbCartoes[[#This Row],[📂 Categoria]]," ","_"))</f>
        <v/>
      </c>
    </row>
    <row r="996" spans="1:8">
      <c r="H996" t="str">
        <f>IF(tbCartoes[[#This Row],[📂 Categoria]]="","",SUBSTITUTE(tbCartoes[[#This Row],[📂 Categoria]]," ","_"))</f>
        <v/>
      </c>
    </row>
    <row r="997" spans="1:8">
      <c r="H997" t="str">
        <f>IF(tbCartoes[[#This Row],[📂 Categoria]]="","",SUBSTITUTE(tbCartoes[[#This Row],[📂 Categoria]]," ","_"))</f>
        <v/>
      </c>
    </row>
    <row r="998" spans="1:8">
      <c r="H998" t="str">
        <f>IF(tbCartoes[[#This Row],[📂 Categoria]]="","",SUBSTITUTE(tbCartoes[[#This Row],[📂 Categoria]]," ","_"))</f>
        <v/>
      </c>
    </row>
    <row r="999" spans="1:8">
      <c r="H999" t="str">
        <f>IF(tbCartoes[[#This Row],[📂 Categoria]]="","",SUBSTITUTE(tbCartoes[[#This Row],[📂 Categoria]]," ","_"))</f>
        <v/>
      </c>
    </row>
    <row r="1000" spans="1:8">
      <c r="H1000" t="str">
        <f>IF(tbCartoes[[#This Row],[📂 Categoria]]="","",SUBSTITUTE(tbCartoes[[#This Row],[📂 Categoria]]," ","_"))</f>
        <v/>
      </c>
    </row>
    <row r="1001" spans="1:8">
      <c r="H1001" t="str">
        <f>IF(tbCartoes[[#This Row],[📂 Categoria]]="","",SUBSTITUTE(tbCartoes[[#This Row],[📂 Categoria]]," ","_"))</f>
        <v/>
      </c>
    </row>
    <row r="1002" spans="1:8">
      <c r="A1002" s="54"/>
      <c r="H1002" t="str">
        <f>IF(tbCartoes[[#This Row],[📂 Categoria]]="","",SUBSTITUTE(tbCartoes[[#This Row],[📂 Categoria]]," ","_"))</f>
        <v/>
      </c>
    </row>
    <row r="1003" spans="1:8">
      <c r="H1003" t="str">
        <f>IF(tbCartoes[[#This Row],[📂 Categoria]]="","",SUBSTITUTE(tbCartoes[[#This Row],[📂 Categoria]]," ","_"))</f>
        <v/>
      </c>
    </row>
    <row r="1004" spans="1:8">
      <c r="A1004" s="54"/>
      <c r="H1004" t="str">
        <f>IF(tbCartoes[[#This Row],[📂 Categoria]]="","",SUBSTITUTE(tbCartoes[[#This Row],[📂 Categoria]]," ","_"))</f>
        <v/>
      </c>
    </row>
  </sheetData>
  <mergeCells count="2">
    <mergeCell ref="A1:H1"/>
    <mergeCell ref="A2:H2"/>
  </mergeCells>
  <conditionalFormatting sqref="I4:I1004">
    <cfRule type="containsText" dxfId="14" priority="1" operator="containsText" text="Pendente">
      <formula>NOT(ISERROR(SEARCH("Pendente",I4)))</formula>
    </cfRule>
    <cfRule type="containsText" dxfId="13" priority="2" operator="containsText" text="Gerada">
      <formula>NOT(ISERROR(SEARCH("Gerada",I4)))</formula>
    </cfRule>
  </conditionalFormatting>
  <conditionalFormatting sqref="K1">
    <cfRule type="cellIs" dxfId="12" priority="3" operator="equal">
      <formula>0</formula>
    </cfRule>
    <cfRule type="cellIs" dxfId="11" priority="4" operator="greaterThan">
      <formula>0</formula>
    </cfRule>
  </conditionalFormatting>
  <conditionalFormatting sqref="L1">
    <cfRule type="containsText" dxfId="10" priority="5" operator="containsText" text="Tudo OK">
      <formula>NOT(ISERROR(SEARCH("Tudo OK",L1)))</formula>
    </cfRule>
    <cfRule type="containsText" dxfId="9" priority="6" operator="containsText" text="Gerar">
      <formula>NOT(ISERROR(SEARCH("Gerar",L1)))</formula>
    </cfRule>
  </conditionalFormatting>
  <dataValidations count="3">
    <dataValidation type="list" allowBlank="1" showInputMessage="1" showErrorMessage="1" sqref="B704:B1001 B4:B701" xr:uid="{15398CCD-C569-494B-8BD0-76C023D7571E}">
      <formula1>Categorias_Despesa</formula1>
    </dataValidation>
    <dataValidation type="list" allowBlank="1" showInputMessage="1" showErrorMessage="1" sqref="G704:G1001 G4:G701" xr:uid="{57733089-44B3-46B3-80F1-EB301A501796}">
      <formula1>Cartoes_Credito</formula1>
    </dataValidation>
    <dataValidation type="list" allowBlank="1" showInputMessage="1" showErrorMessage="1" sqref="C704:C1001 C4:C701" xr:uid="{B14D8628-515B-4E44-BC09-4A3BD37F29C0}">
      <formula1>INDIRECT($H4)</formula1>
    </dataValidation>
  </dataValidations>
  <pageMargins left="0.511811024" right="0.511811024" top="0.78740157499999996" bottom="0.78740157499999996" header="0.31496062000000002" footer="0.31496062000000002"/>
  <pageSetup paperSize="9" scale="60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3CFF1-6BE9-4065-B786-E0C164F944C9}">
  <sheetPr>
    <tabColor rgb="FF00B050"/>
    <pageSetUpPr fitToPage="1"/>
  </sheetPr>
  <dimension ref="A1:K67"/>
  <sheetViews>
    <sheetView showGridLines="0" zoomScaleNormal="100" workbookViewId="0">
      <pane ySplit="5" topLeftCell="A6" activePane="bottomLeft" state="frozen"/>
      <selection pane="bottomLeft" activeCell="K15" sqref="K15"/>
    </sheetView>
  </sheetViews>
  <sheetFormatPr defaultRowHeight="14.4"/>
  <cols>
    <col min="1" max="1" width="18.109375" customWidth="1"/>
    <col min="2" max="2" width="16.6640625" customWidth="1"/>
    <col min="3" max="3" width="16.33203125" bestFit="1" customWidth="1"/>
    <col min="4" max="7" width="18.5546875" customWidth="1"/>
    <col min="8" max="8" width="12.44140625" customWidth="1"/>
    <col min="9" max="10" width="22.21875" customWidth="1"/>
    <col min="11" max="11" width="20.33203125" bestFit="1" customWidth="1"/>
    <col min="12" max="12" width="13.5546875" customWidth="1"/>
  </cols>
  <sheetData>
    <row r="1" spans="1:11" ht="21">
      <c r="A1" s="345" t="s">
        <v>363</v>
      </c>
      <c r="B1" s="346"/>
      <c r="C1" s="346"/>
      <c r="D1" s="346"/>
      <c r="E1" s="346"/>
      <c r="F1" s="346"/>
      <c r="G1" s="346"/>
      <c r="H1" s="346"/>
      <c r="K1" s="197" cm="1">
        <f t="array" aca="1" ref="K1" ca="1">INDEX($G$7:$G$18,MONTH(TODAY())-1)</f>
        <v>17146.333333333328</v>
      </c>
    </row>
    <row r="2" spans="1:11">
      <c r="K2" cm="1">
        <f t="array" aca="1" ref="K2" ca="1">SUMPRODUCT((tb_receitas[📅 Data]&gt;=DATE(YEAR(TODAY()),MONTH(TODAY()),1))*(tb_receitas[📅 Data]&lt;TODAY())*(tb_receitas[📊 Status]="Realizado")*(tb_receitas[💵 Valor]))</f>
        <v>0</v>
      </c>
    </row>
    <row r="3" spans="1:11">
      <c r="A3" s="10" t="s">
        <v>144</v>
      </c>
      <c r="B3" s="11">
        <v>2025</v>
      </c>
      <c r="D3" s="10" t="s">
        <v>145</v>
      </c>
      <c r="E3" s="11">
        <v>0</v>
      </c>
      <c r="G3" t="s">
        <v>233</v>
      </c>
      <c r="I3" t="s">
        <v>504</v>
      </c>
      <c r="J3" s="5">
        <f>DATE($B$3,5,18)</f>
        <v>45795</v>
      </c>
      <c r="K3" cm="1">
        <f t="array" aca="1" ref="K3" ca="1">SUMPRODUCT((tbDespesas[📅 Data]&gt;=DATE(YEAR(TODAY()),MONTH(TODAY()),1))*(tbDespesas[📅 Data]&lt;TODAY())*(tbDespesas[📊 Status]="Realizado")*(tbDespesas[💰 Valor]))</f>
        <v>0</v>
      </c>
    </row>
    <row r="4" spans="1:11">
      <c r="A4" s="10" t="s">
        <v>375</v>
      </c>
      <c r="B4" s="203">
        <v>10000</v>
      </c>
      <c r="C4" s="14" t="s">
        <v>376</v>
      </c>
      <c r="K4" cm="1">
        <f t="array" aca="1" ref="K4" ca="1">SUMPRODUCT((tbParcelas6[Data_Vencimento]&gt;=DATE(YEAR(TODAY()),MONTH(TODAY()),1))*(tbParcelas6[Data_Vencimento]&lt;TODAY())*(tbParcelas6[Valor_Parcela]))</f>
        <v>0</v>
      </c>
    </row>
    <row r="5" spans="1:11">
      <c r="K5" s="197">
        <f ca="1">K1+K2-K3-K4</f>
        <v>17146.333333333328</v>
      </c>
    </row>
    <row r="6" spans="1:11">
      <c r="A6" s="28" t="s">
        <v>129</v>
      </c>
      <c r="B6" s="89" t="s">
        <v>274</v>
      </c>
      <c r="C6" s="90" t="s">
        <v>275</v>
      </c>
      <c r="D6" s="91" t="s">
        <v>276</v>
      </c>
      <c r="E6" s="92" t="s">
        <v>277</v>
      </c>
      <c r="F6" s="28" t="s">
        <v>161</v>
      </c>
      <c r="G6" s="28" t="s">
        <v>278</v>
      </c>
      <c r="H6" s="28" t="s">
        <v>157</v>
      </c>
      <c r="K6" cm="1">
        <f t="array" aca="1" ref="K6" ca="1">SUMPRODUCT((tb_investimentos[Data]&gt;=DATE(YEAR(TODAY()),MONTH(TODAY()),1))*(tb_investimentos[Data]&lt;TODAY())*(tb_investimentos[Movimento]="Aporte")*(tb_investimentos[Valor]))</f>
        <v>0</v>
      </c>
    </row>
    <row r="7" spans="1:11">
      <c r="A7" s="5" t="str">
        <f>"jan/"&amp;$B$3</f>
        <v>jan/2025</v>
      </c>
      <c r="B7" s="197">
        <f>SUMIFS(tb_receitas[💵 Valor],tb_receitas[📅 Data],"&gt;="&amp;DATE($B$3,1,1),tb_receitas[📅 Data],"&lt;"&amp;DATE($B$3,1+1,1),tb_receitas[📊 Status],"Realizado")+SUMIFS(tb_investimentos[Valor],tb_investimentos[Data],"&gt;="&amp;DATE($B$3,1,1),tb_investimentos[Data],"&lt;"&amp;DATE($B$3,1+1,1),tb_investimentos[Movimento],"Resgate")</f>
        <v>16200</v>
      </c>
      <c r="C7" s="198" cm="1">
        <f t="array" ref="C7">SUMPRODUCT((tbPrevisoes[📂 TIPO]="Receita")*(tbPrevisoes[✅ STATUS]="Ativa")*(YEAR(tbPrevisoes[📅 DATA])=$B$3)*(MONTH(tbPrevisoes[📅 DATA])=1)*tbPrevisoes[💰 VALOR])</f>
        <v>0</v>
      </c>
      <c r="D7" s="197">
        <f>SUMIFS(tbDespesas[💰 Valor],tbDespesas[📅 Data],"&gt;="&amp;DATE($B$3,1,1),tbDespesas[📅 Data],"&lt;"&amp;DATE($B$3,1+1,1),tbDespesas[📊 Status],"Realizado")+SUMIFS(tbParcelas6[Valor_Parcela],tbParcelas6[Data_Vencimento],"&gt;="&amp;DATE($B$3,1,1),tbParcelas6[Data_Vencimento],"&lt;"&amp;DATE($B$3,1+1,1))</f>
        <v>12580</v>
      </c>
      <c r="E7" s="199" cm="1">
        <f t="array" ref="E7">SUMPRODUCT((tbPrevisoes[📂 TIPO]="Despesa")*(tbPrevisoes[✅ STATUS]="Ativa")*(YEAR(tbPrevisoes[📅 DATA])=$B$3)*(MONTH(tbPrevisoes[📅 DATA])=1)*tbPrevisoes[💰 VALOR])</f>
        <v>0</v>
      </c>
      <c r="F7" s="197">
        <f t="shared" ref="F7:F19" si="0">(B7+C7)-(D7+E7)</f>
        <v>3620</v>
      </c>
      <c r="G7" s="197">
        <f>$B$4+F7</f>
        <v>13620</v>
      </c>
      <c r="H7" s="7" t="str">
        <f t="shared" ref="H7:H18" si="1">IF(G7&lt;0,"🔴 Negativo",IF(G7&lt;5000,"🟡 Alerta","🟢 OK"))</f>
        <v>🟢 OK</v>
      </c>
    </row>
    <row r="8" spans="1:11">
      <c r="A8" s="53" t="str">
        <f>"fev/"&amp;$B$3</f>
        <v>fev/2025</v>
      </c>
      <c r="B8" s="200">
        <f>SUMIFS(tb_receitas[💵 Valor],tb_receitas[📅 Data],"&gt;="&amp;DATE($B$3,2,1),tb_receitas[📅 Data],"&lt;"&amp;DATE($B$3,2+1,1),tb_receitas[📊 Status],"Realizado")+SUMIFS(tb_investimentos[Valor],tb_investimentos[Data],"&gt;="&amp;DATE($B$3,2,1),tb_investimentos[Data],"&lt;"&amp;DATE($B$3,2+1,1),tb_investimentos[Movimento],"Resgate")</f>
        <v>15900</v>
      </c>
      <c r="C8" s="198" cm="1">
        <f t="array" ref="C8">SUMPRODUCT((tbPrevisoes[📂 TIPO]="Receita")*(tbPrevisoes[✅ STATUS]="Ativa")*(YEAR(tbPrevisoes[📅 DATA])=$B$3)*(MONTH(tbPrevisoes[📅 DATA])=2)*tbPrevisoes[💰 VALOR])</f>
        <v>0</v>
      </c>
      <c r="D8" s="200">
        <f>SUMIFS(tbDespesas[💰 Valor],tbDespesas[📅 Data],"&gt;="&amp;DATE($B$3,2,1),tbDespesas[📅 Data],"&lt;"&amp;DATE($B$3,2+1,1),tbDespesas[📊 Status],"Realizado")+SUMIFS(tbParcelas6[Valor_Parcela],tbParcelas6[Data_Vencimento],"&gt;="&amp;DATE($B$3,2,1),tbParcelas6[Data_Vencimento],"&lt;"&amp;DATE($B$3,2+1,1))</f>
        <v>14366.666666666666</v>
      </c>
      <c r="E8" s="199" cm="1">
        <f t="array" ref="E8">SUMPRODUCT((tbPrevisoes[📂 TIPO]="Despesa")*(tbPrevisoes[✅ STATUS]="Ativa")*(YEAR(tbPrevisoes[📅 DATA])=$B$3)*(MONTH(tbPrevisoes[📅 DATA])=2)*tbPrevisoes[💰 VALOR])</f>
        <v>0</v>
      </c>
      <c r="F8" s="201">
        <f t="shared" si="0"/>
        <v>1533.3333333333339</v>
      </c>
      <c r="G8" s="201">
        <f t="shared" ref="G8:G18" si="2">G7+F8</f>
        <v>15153.333333333334</v>
      </c>
      <c r="H8" s="52" t="str">
        <f t="shared" si="1"/>
        <v>🟢 OK</v>
      </c>
    </row>
    <row r="9" spans="1:11">
      <c r="A9" s="5" t="str">
        <f>"mar/"&amp;$B$3</f>
        <v>mar/2025</v>
      </c>
      <c r="B9" s="197">
        <f>SUMIFS(tb_receitas[💵 Valor],tb_receitas[📅 Data],"&gt;="&amp;DATE($B$3,3,1),tb_receitas[📅 Data],"&lt;"&amp;DATE($B$3,3+1,1),tb_receitas[📊 Status],"Realizado")+SUMIFS(tb_investimentos[Valor],tb_investimentos[Data],"&gt;="&amp;DATE($B$3,3,1),tb_investimentos[Data],"&lt;"&amp;DATE($B$3,3+1,1),tb_investimentos[Movimento],"Resgate")</f>
        <v>16400</v>
      </c>
      <c r="C9" s="198" cm="1">
        <f t="array" ref="C9">SUMPRODUCT((tbPrevisoes[📂 TIPO]="Receita")*(tbPrevisoes[✅ STATUS]="Ativa")*(YEAR(tbPrevisoes[📅 DATA])=$B$3)*(MONTH(tbPrevisoes[📅 DATA])=3)*tbPrevisoes[💰 VALOR])</f>
        <v>0</v>
      </c>
      <c r="D9" s="197">
        <f>SUMIFS(tbDespesas[💰 Valor],tbDespesas[📅 Data],"&gt;="&amp;DATE($B$3,3,1),tbDespesas[📅 Data],"&lt;"&amp;DATE($B$3,3+1,1),tbDespesas[📊 Status],"Realizado")+SUMIFS(tbParcelas6[Valor_Parcela],tbParcelas6[Data_Vencimento],"&gt;="&amp;DATE($B$3,3,1),tbParcelas6[Data_Vencimento],"&lt;"&amp;DATE($B$3,3+1,1))</f>
        <v>14073.666666666668</v>
      </c>
      <c r="E9" s="199" cm="1">
        <f t="array" ref="E9">SUMPRODUCT((tbPrevisoes[📂 TIPO]="Despesa")*(tbPrevisoes[✅ STATUS]="Ativa")*(YEAR(tbPrevisoes[📅 DATA])=$B$3)*(MONTH(tbPrevisoes[📅 DATA])=3)*tbPrevisoes[💰 VALOR])</f>
        <v>0</v>
      </c>
      <c r="F9" s="197">
        <f t="shared" si="0"/>
        <v>2326.3333333333321</v>
      </c>
      <c r="G9" s="197">
        <f t="shared" si="2"/>
        <v>17479.666666666664</v>
      </c>
      <c r="H9" s="7" t="str">
        <f t="shared" si="1"/>
        <v>🟢 OK</v>
      </c>
    </row>
    <row r="10" spans="1:11">
      <c r="A10" s="53" t="str">
        <f>"abr/"&amp;$B$3</f>
        <v>abr/2025</v>
      </c>
      <c r="B10" s="200">
        <f>SUMIFS(tb_receitas[💵 Valor],tb_receitas[📅 Data],"&gt;="&amp;DATE($B$3,4,1),tb_receitas[📅 Data],"&lt;"&amp;DATE($B$3,4+1,1),tb_receitas[📊 Status],"Realizado")+SUMIFS(tb_investimentos[Valor],tb_investimentos[Data],"&gt;="&amp;DATE($B$3,4,1),tb_investimentos[Data],"&lt;"&amp;DATE($B$3,4+1,1),tb_investimentos[Movimento],"Resgate")</f>
        <v>16000</v>
      </c>
      <c r="C10" s="198" cm="1">
        <f t="array" ref="C10">SUMPRODUCT((tbPrevisoes[📂 TIPO]="Receita")*(tbPrevisoes[✅ STATUS]="Ativa")*(YEAR(tbPrevisoes[📅 DATA])=$B$3)*(MONTH(tbPrevisoes[📅 DATA])=4)*tbPrevisoes[💰 VALOR])</f>
        <v>0</v>
      </c>
      <c r="D10" s="200">
        <f>SUMIFS(tbDespesas[💰 Valor],tbDespesas[📅 Data],"&gt;="&amp;DATE($B$3,4,1),tbDespesas[📅 Data],"&lt;"&amp;DATE($B$3,4+1,1),tbDespesas[📊 Status],"Realizado")+SUMIFS(tbParcelas6[Valor_Parcela],tbParcelas6[Data_Vencimento],"&gt;="&amp;DATE($B$3,4,1),tbParcelas6[Data_Vencimento],"&lt;"&amp;DATE($B$3,4+1,1))</f>
        <v>16333.333333333334</v>
      </c>
      <c r="E10" s="199" cm="1">
        <f t="array" ref="E10">SUMPRODUCT((tbPrevisoes[📂 TIPO]="Despesa")*(tbPrevisoes[✅ STATUS]="Ativa")*(YEAR(tbPrevisoes[📅 DATA])=$B$3)*(MONTH(tbPrevisoes[📅 DATA])=4)*tbPrevisoes[💰 VALOR])</f>
        <v>0</v>
      </c>
      <c r="F10" s="201">
        <f t="shared" si="0"/>
        <v>-333.33333333333394</v>
      </c>
      <c r="G10" s="201">
        <f t="shared" si="2"/>
        <v>17146.333333333328</v>
      </c>
      <c r="H10" s="52" t="str">
        <f t="shared" si="1"/>
        <v>🟢 OK</v>
      </c>
      <c r="K10" s="7"/>
    </row>
    <row r="11" spans="1:11">
      <c r="A11" s="5" t="str">
        <f>"mai/"&amp;$B$3</f>
        <v>mai/2025</v>
      </c>
      <c r="B11" s="197">
        <f>SUMIFS(tb_receitas[💵 Valor],tb_receitas[📅 Data],"&gt;="&amp;DATE($B$3,5,1),tb_receitas[📅 Data],"&lt;"&amp;DATE($B$3,5+1,1),tb_receitas[📊 Status],"Realizado")+SUMIFS(tb_investimentos[Valor],tb_investimentos[Data],"&gt;="&amp;DATE($B$3,5,1),tb_investimentos[Data],"&lt;"&amp;DATE($B$3,5+1,1),tb_investimentos[Movimento],"Resgate")</f>
        <v>16150</v>
      </c>
      <c r="C11" s="198" cm="1">
        <f t="array" ref="C11">SUMPRODUCT((tbPrevisoes[📂 TIPO]="Receita")*(tbPrevisoes[✅ STATUS]="Ativa")*(YEAR(tbPrevisoes[📅 DATA])=$B$3)*(MONTH(tbPrevisoes[📅 DATA])=5)*tbPrevisoes[💰 VALOR])</f>
        <v>0</v>
      </c>
      <c r="D11" s="197">
        <f>SUMIFS(tbDespesas[💰 Valor],tbDespesas[📅 Data],"&gt;="&amp;DATE($B$3,5,1),tbDespesas[📅 Data],"&lt;"&amp;DATE($B$3,5+1,1),tbDespesas[📊 Status],"Realizado")+SUMIFS(tbParcelas6[Valor_Parcela],tbParcelas6[Data_Vencimento],"&gt;="&amp;DATE($B$3,5,1),tbParcelas6[Data_Vencimento],"&lt;"&amp;DATE($B$3,5+1,1))</f>
        <v>15681.666666666666</v>
      </c>
      <c r="E11" s="199" cm="1">
        <f t="array" ref="E11">SUMPRODUCT((tbPrevisoes[📂 TIPO]="Despesa")*(tbPrevisoes[✅ STATUS]="Ativa")*(YEAR(tbPrevisoes[📅 DATA])=$B$3)*(MONTH(tbPrevisoes[📅 DATA])=5)*tbPrevisoes[💰 VALOR])</f>
        <v>0</v>
      </c>
      <c r="F11" s="197">
        <f t="shared" si="0"/>
        <v>468.33333333333394</v>
      </c>
      <c r="G11" s="197">
        <f t="shared" si="2"/>
        <v>17614.666666666664</v>
      </c>
      <c r="H11" s="7" t="str">
        <f t="shared" si="1"/>
        <v>🟢 OK</v>
      </c>
    </row>
    <row r="12" spans="1:11">
      <c r="A12" s="53" t="str">
        <f>"jun/"&amp;$B$3</f>
        <v>jun/2025</v>
      </c>
      <c r="B12" s="200">
        <f>SUMIFS(tb_receitas[💵 Valor],tb_receitas[📅 Data],"&gt;="&amp;DATE($B$3,6,1),tb_receitas[📅 Data],"&lt;"&amp;DATE($B$3,6+1,1),tb_receitas[📊 Status],"Realizado")+SUMIFS(tb_investimentos[Valor],tb_investimentos[Data],"&gt;="&amp;DATE($B$3,6,1),tb_investimentos[Data],"&lt;"&amp;DATE($B$3,6+1,1),tb_investimentos[Movimento],"Resgate")</f>
        <v>15950</v>
      </c>
      <c r="C12" s="198" cm="1">
        <f t="array" ref="C12">SUMPRODUCT((tbPrevisoes[📂 TIPO]="Receita")*(tbPrevisoes[✅ STATUS]="Ativa")*(YEAR(tbPrevisoes[📅 DATA])=$B$3)*(MONTH(tbPrevisoes[📅 DATA])=6)*tbPrevisoes[💰 VALOR])</f>
        <v>0</v>
      </c>
      <c r="D12" s="200">
        <f>SUMIFS(tbDespesas[💰 Valor],tbDespesas[📅 Data],"&gt;="&amp;DATE($B$3,6,1),tbDespesas[📅 Data],"&lt;"&amp;DATE($B$3,6+1,1),tbDespesas[📊 Status],"Realizado")+SUMIFS(tbParcelas6[Valor_Parcela],tbParcelas6[Data_Vencimento],"&gt;="&amp;DATE($B$3,6,1),tbParcelas6[Data_Vencimento],"&lt;"&amp;DATE($B$3,6+1,1))</f>
        <v>16428.333333333332</v>
      </c>
      <c r="E12" s="199" cm="1">
        <f t="array" ref="E12">SUMPRODUCT((tbPrevisoes[📂 TIPO]="Despesa")*(tbPrevisoes[✅ STATUS]="Ativa")*(YEAR(tbPrevisoes[📅 DATA])=$B$3)*(MONTH(tbPrevisoes[📅 DATA])=6)*tbPrevisoes[💰 VALOR])</f>
        <v>0</v>
      </c>
      <c r="F12" s="201">
        <f t="shared" si="0"/>
        <v>-478.33333333333212</v>
      </c>
      <c r="G12" s="201">
        <f t="shared" si="2"/>
        <v>17136.333333333332</v>
      </c>
      <c r="H12" s="52" t="str">
        <f t="shared" si="1"/>
        <v>🟢 OK</v>
      </c>
    </row>
    <row r="13" spans="1:11">
      <c r="A13" s="5" t="str">
        <f>"jul/"&amp;$B$3</f>
        <v>jul/2025</v>
      </c>
      <c r="B13" s="197">
        <f>SUMIFS(tb_receitas[💵 Valor],tb_receitas[📅 Data],"&gt;="&amp;DATE($B$3,7,1),tb_receitas[📅 Data],"&lt;"&amp;DATE($B$3,7+1,1),tb_receitas[📊 Status],"Realizado")+SUMIFS(tb_investimentos[Valor],tb_investimentos[Data],"&gt;="&amp;DATE($B$3,7,1),tb_investimentos[Data],"&lt;"&amp;DATE($B$3,7+1,1),tb_investimentos[Movimento],"Resgate")</f>
        <v>16000</v>
      </c>
      <c r="C13" s="198" cm="1">
        <f t="array" ref="C13">SUMPRODUCT((tbPrevisoes[📂 TIPO]="Receita")*(tbPrevisoes[✅ STATUS]="Ativa")*(YEAR(tbPrevisoes[📅 DATA])=$B$3)*(MONTH(tbPrevisoes[📅 DATA])=7)*tbPrevisoes[💰 VALOR])</f>
        <v>0</v>
      </c>
      <c r="D13" s="197">
        <f>SUMIFS(tbDespesas[💰 Valor],tbDespesas[📅 Data],"&gt;="&amp;DATE($B$3,7,1),tbDespesas[📅 Data],"&lt;"&amp;DATE($B$3,7+1,1),tbDespesas[📊 Status],"Realizado")+SUMIFS(tbParcelas6[Valor_Parcela],tbParcelas6[Data_Vencimento],"&gt;="&amp;DATE($B$3,7,1),tbParcelas6[Data_Vencimento],"&lt;"&amp;DATE($B$3,7+1,1))</f>
        <v>16341.666666666668</v>
      </c>
      <c r="E13" s="199" cm="1">
        <f t="array" ref="E13">SUMPRODUCT((tbPrevisoes[📂 TIPO]="Despesa")*(tbPrevisoes[✅ STATUS]="Ativa")*(YEAR(tbPrevisoes[📅 DATA])=$B$3)*(MONTH(tbPrevisoes[📅 DATA])=7)*tbPrevisoes[💰 VALOR])</f>
        <v>0</v>
      </c>
      <c r="F13" s="197">
        <f t="shared" si="0"/>
        <v>-341.66666666666788</v>
      </c>
      <c r="G13" s="197">
        <f t="shared" si="2"/>
        <v>16794.666666666664</v>
      </c>
      <c r="H13" s="7" t="str">
        <f t="shared" si="1"/>
        <v>🟢 OK</v>
      </c>
      <c r="K13" cm="1">
        <f t="array" aca="1" ref="K13" ca="1">SUMPRODUCT((tbDespesas[📅 Data]&gt;=DATE(2026,5,1))*(tbDespesas[📅 Data]&lt;TODAY())*(tbDespesas[📊 Status]="Realizado")*(tbDespesas[💰 Valor]))</f>
        <v>0</v>
      </c>
    </row>
    <row r="14" spans="1:11">
      <c r="A14" s="53" t="str">
        <f>"ago/"&amp;$B$3</f>
        <v>ago/2025</v>
      </c>
      <c r="B14" s="200">
        <f>SUMIFS(tb_receitas[💵 Valor],tb_receitas[📅 Data],"&gt;="&amp;DATE($B$3,8,1),tb_receitas[📅 Data],"&lt;"&amp;DATE($B$3,8+1,1),tb_receitas[📊 Status],"Realizado")+SUMIFS(tb_investimentos[Valor],tb_investimentos[Data],"&gt;="&amp;DATE($B$3,8,1),tb_investimentos[Data],"&lt;"&amp;DATE($B$3,8+1,1),tb_investimentos[Movimento],"Resgate")</f>
        <v>16250</v>
      </c>
      <c r="C14" s="198" cm="1">
        <f t="array" ref="C14">SUMPRODUCT((tbPrevisoes[📂 TIPO]="Receita")*(tbPrevisoes[✅ STATUS]="Ativa")*(YEAR(tbPrevisoes[📅 DATA])=$B$3)*(MONTH(tbPrevisoes[📅 DATA])=8)*tbPrevisoes[💰 VALOR])</f>
        <v>0</v>
      </c>
      <c r="D14" s="200">
        <f>SUMIFS(tbDespesas[💰 Valor],tbDespesas[📅 Data],"&gt;="&amp;DATE($B$3,8,1),tbDespesas[📅 Data],"&lt;"&amp;DATE($B$3,8+1,1),tbDespesas[📊 Status],"Realizado")+SUMIFS(tbParcelas6[Valor_Parcela],tbParcelas6[Data_Vencimento],"&gt;="&amp;DATE($B$3,8,1),tbParcelas6[Data_Vencimento],"&lt;"&amp;DATE($B$3,8+1,1))</f>
        <v>14511.666666666668</v>
      </c>
      <c r="E14" s="199" cm="1">
        <f t="array" ref="E14">SUMPRODUCT((tbPrevisoes[📂 TIPO]="Despesa")*(tbPrevisoes[✅ STATUS]="Ativa")*(YEAR(tbPrevisoes[📅 DATA])=$B$3)*(MONTH(tbPrevisoes[📅 DATA])=8)*tbPrevisoes[💰 VALOR])</f>
        <v>0</v>
      </c>
      <c r="F14" s="201">
        <f t="shared" si="0"/>
        <v>1738.3333333333321</v>
      </c>
      <c r="G14" s="201">
        <f t="shared" si="2"/>
        <v>18532.999999999996</v>
      </c>
      <c r="H14" s="52" t="str">
        <f t="shared" si="1"/>
        <v>🟢 OK</v>
      </c>
      <c r="K14" cm="1">
        <f t="array" aca="1" ref="K14" ca="1">SUMPRODUCT((tbParcelas6[Data_Vencimento]&gt;=DATE(2026,5,1))*(tbParcelas6[Data_Vencimento]&lt;TODAY())*(tbParcelas6[Valor_Parcela]))</f>
        <v>0</v>
      </c>
    </row>
    <row r="15" spans="1:11">
      <c r="A15" s="5" t="str">
        <f>"set/"&amp;$B$3</f>
        <v>set/2025</v>
      </c>
      <c r="B15" s="197">
        <f>SUMIFS(tb_receitas[💵 Valor],tb_receitas[📅 Data],"&gt;="&amp;DATE($B$3,9,1),tb_receitas[📅 Data],"&lt;"&amp;DATE($B$3,9+1,1),tb_receitas[📊 Status],"Realizado")+SUMIFS(tb_investimentos[Valor],tb_investimentos[Data],"&gt;="&amp;DATE($B$3,9,1),tb_investimentos[Data],"&lt;"&amp;DATE($B$3,9+1,1),tb_investimentos[Movimento],"Resgate")</f>
        <v>16050</v>
      </c>
      <c r="C15" s="198" cm="1">
        <f t="array" ref="C15">SUMPRODUCT((tbPrevisoes[📂 TIPO]="Receita")*(tbPrevisoes[✅ STATUS]="Ativa")*(YEAR(tbPrevisoes[📅 DATA])=$B$3)*(MONTH(tbPrevisoes[📅 DATA])=9)*tbPrevisoes[💰 VALOR])</f>
        <v>0</v>
      </c>
      <c r="D15" s="197">
        <f>SUMIFS(tbDespesas[💰 Valor],tbDespesas[📅 Data],"&gt;="&amp;DATE($B$3,9,1),tbDespesas[📅 Data],"&lt;"&amp;DATE($B$3,9+1,1),tbDespesas[📊 Status],"Realizado")+SUMIFS(tbParcelas6[Valor_Parcela],tbParcelas6[Data_Vencimento],"&gt;="&amp;DATE($B$3,9,1),tbParcelas6[Data_Vencimento],"&lt;"&amp;DATE($B$3,9+1,1))</f>
        <v>15540</v>
      </c>
      <c r="E15" s="199" cm="1">
        <f t="array" ref="E15">SUMPRODUCT((tbPrevisoes[📂 TIPO]="Despesa")*(tbPrevisoes[✅ STATUS]="Ativa")*(YEAR(tbPrevisoes[📅 DATA])=$B$3)*(MONTH(tbPrevisoes[📅 DATA])=9)*tbPrevisoes[💰 VALOR])</f>
        <v>0</v>
      </c>
      <c r="F15" s="197">
        <f t="shared" si="0"/>
        <v>510</v>
      </c>
      <c r="G15" s="197">
        <f t="shared" si="2"/>
        <v>19042.999999999996</v>
      </c>
      <c r="H15" s="7" t="str">
        <f t="shared" si="1"/>
        <v>🟢 OK</v>
      </c>
      <c r="K15" cm="1">
        <f t="array" aca="1" ref="K15" ca="1">SUMPRODUCT((tb_investimentos[Data]&gt;=DATE(2026,5,1))*(tb_investimentos[Data]&lt;TODAY())*(tb_investimentos[Movimento]="Aporte")*(tb_investimentos[Valor]))-SUMPRODUCT((tb_investimentos[Data]&gt;=DATE(2026,5,1))*(tb_investimentos[Data]&lt;TODAY())*(tb_investimentos[Movimento]="Resgate")*(tb_investimentos[Valor]))</f>
        <v>0</v>
      </c>
    </row>
    <row r="16" spans="1:11">
      <c r="A16" s="53" t="str">
        <f>"out/"&amp;$B$3</f>
        <v>out/2025</v>
      </c>
      <c r="B16" s="200">
        <f>SUMIFS(tb_receitas[💵 Valor],tb_receitas[📅 Data],"&gt;="&amp;DATE($B$3,10,1),tb_receitas[📅 Data],"&lt;"&amp;DATE($B$3,10+1,1),tb_receitas[📊 Status],"Realizado")+SUMIFS(tb_investimentos[Valor],tb_investimentos[Data],"&gt;="&amp;DATE($B$3,10,1),tb_investimentos[Data],"&lt;"&amp;DATE($B$3,10+1,1),tb_investimentos[Movimento],"Resgate")</f>
        <v>16000</v>
      </c>
      <c r="C16" s="198" cm="1">
        <f t="array" ref="C16">SUMPRODUCT((tbPrevisoes[📂 TIPO]="Receita")*(tbPrevisoes[✅ STATUS]="Ativa")*(YEAR(tbPrevisoes[📅 DATA])=$B$3)*(MONTH(tbPrevisoes[📅 DATA])=10)*tbPrevisoes[💰 VALOR])</f>
        <v>0</v>
      </c>
      <c r="D16" s="200">
        <f>SUMIFS(tbDespesas[💰 Valor],tbDespesas[📅 Data],"&gt;="&amp;DATE($B$3,10,1),tbDespesas[📅 Data],"&lt;"&amp;DATE($B$3,10+1,1),tbDespesas[📊 Status],"Realizado")+SUMIFS(tbParcelas6[Valor_Parcela],tbParcelas6[Data_Vencimento],"&gt;="&amp;DATE($B$3,10,1),tbParcelas6[Data_Vencimento],"&lt;"&amp;DATE($B$3,10+1,1))</f>
        <v>15770</v>
      </c>
      <c r="E16" s="199" cm="1">
        <f t="array" ref="E16">SUMPRODUCT((tbPrevisoes[📂 TIPO]="Despesa")*(tbPrevisoes[✅ STATUS]="Ativa")*(YEAR(tbPrevisoes[📅 DATA])=$B$3)*(MONTH(tbPrevisoes[📅 DATA])=10)*tbPrevisoes[💰 VALOR])</f>
        <v>0</v>
      </c>
      <c r="F16" s="201">
        <f t="shared" si="0"/>
        <v>230</v>
      </c>
      <c r="G16" s="201">
        <f t="shared" si="2"/>
        <v>19272.999999999996</v>
      </c>
      <c r="H16" s="52" t="str">
        <f t="shared" si="1"/>
        <v>🟢 OK</v>
      </c>
    </row>
    <row r="17" spans="1:9">
      <c r="A17" s="5" t="str">
        <f>"nov/"&amp;$B$3</f>
        <v>nov/2025</v>
      </c>
      <c r="B17" s="197">
        <f>SUMIFS(tb_receitas[💵 Valor],tb_receitas[📅 Data],"&gt;="&amp;DATE($B$3,11,1),tb_receitas[📅 Data],"&lt;"&amp;DATE($B$3,11+1,1),tb_receitas[📊 Status],"Realizado")+SUMIFS(tb_investimentos[Valor],tb_investimentos[Data],"&gt;="&amp;DATE($B$3,11,1),tb_investimentos[Data],"&lt;"&amp;DATE($B$3,11+1,1),tb_investimentos[Movimento],"Resgate")</f>
        <v>16500</v>
      </c>
      <c r="C17" s="198" cm="1">
        <f t="array" ref="C17">SUMPRODUCT((tbPrevisoes[📂 TIPO]="Receita")*(tbPrevisoes[✅ STATUS]="Ativa")*(YEAR(tbPrevisoes[📅 DATA])=$B$3)*(MONTH(tbPrevisoes[📅 DATA])=11)*tbPrevisoes[💰 VALOR])</f>
        <v>0</v>
      </c>
      <c r="D17" s="197">
        <f>SUMIFS(tbDespesas[💰 Valor],tbDespesas[📅 Data],"&gt;="&amp;DATE($B$3,11,1),tbDespesas[📅 Data],"&lt;"&amp;DATE($B$3,11+1,1),tbDespesas[📊 Status],"Realizado")+SUMIFS(tbParcelas6[Valor_Parcela],tbParcelas6[Data_Vencimento],"&gt;="&amp;DATE($B$3,11,1),tbParcelas6[Data_Vencimento],"&lt;"&amp;DATE($B$3,11+1,1))</f>
        <v>14956.666666666666</v>
      </c>
      <c r="E17" s="199" cm="1">
        <f t="array" ref="E17">SUMPRODUCT((tbPrevisoes[📂 TIPO]="Despesa")*(tbPrevisoes[✅ STATUS]="Ativa")*(YEAR(tbPrevisoes[📅 DATA])=$B$3)*(MONTH(tbPrevisoes[📅 DATA])=11)*tbPrevisoes[💰 VALOR])</f>
        <v>0</v>
      </c>
      <c r="F17" s="197">
        <f t="shared" si="0"/>
        <v>1543.3333333333339</v>
      </c>
      <c r="G17" s="197">
        <f t="shared" si="2"/>
        <v>20816.333333333328</v>
      </c>
      <c r="H17" s="7" t="str">
        <f t="shared" si="1"/>
        <v>🟢 OK</v>
      </c>
    </row>
    <row r="18" spans="1:9">
      <c r="A18" s="53" t="str">
        <f>"dez/"&amp;$B$3</f>
        <v>dez/2025</v>
      </c>
      <c r="B18" s="200">
        <f>SUMIFS(tb_receitas[💵 Valor],tb_receitas[📅 Data],"&gt;="&amp;DATE($B$3,12,1),tb_receitas[📅 Data],"&lt;"&amp;DATE($B$3,12+1,1),tb_receitas[📊 Status],"Realizado")+SUMIFS(tb_investimentos[Valor],tb_investimentos[Data],"&gt;="&amp;DATE($B$3,12,1),tb_investimentos[Data],"&lt;"&amp;DATE($B$3,12+1,1),tb_investimentos[Movimento],"Resgate")</f>
        <v>16600</v>
      </c>
      <c r="C18" s="198" cm="1">
        <f t="array" ref="C18">SUMPRODUCT((tbPrevisoes[📂 TIPO]="Receita")*(tbPrevisoes[✅ STATUS]="Ativa")*(YEAR(tbPrevisoes[📅 DATA])=$B$3)*(MONTH(tbPrevisoes[📅 DATA])=12)*tbPrevisoes[💰 VALOR])</f>
        <v>0</v>
      </c>
      <c r="D18" s="200">
        <f>SUMIFS(tbDespesas[💰 Valor],tbDespesas[📅 Data],"&gt;="&amp;DATE($B$3,12,1),tbDespesas[📅 Data],"&lt;"&amp;DATE($B$3,12+1,1),tbDespesas[📊 Status],"Realizado")+SUMIFS(tbParcelas6[Valor_Parcela],tbParcelas6[Data_Vencimento],"&gt;="&amp;DATE($B$3,12,1),tbParcelas6[Data_Vencimento],"&lt;"&amp;DATE($B$3,12+1,1))</f>
        <v>16706.666666666668</v>
      </c>
      <c r="E18" s="199" cm="1">
        <f t="array" ref="E18">SUMPRODUCT((tbPrevisoes[📂 TIPO]="Despesa")*(tbPrevisoes[✅ STATUS]="Ativa")*(YEAR(tbPrevisoes[📅 DATA])=$B$3)*(MONTH(tbPrevisoes[📅 DATA])=12)*tbPrevisoes[💰 VALOR])</f>
        <v>0</v>
      </c>
      <c r="F18" s="201">
        <f t="shared" si="0"/>
        <v>-106.66666666666788</v>
      </c>
      <c r="G18" s="201">
        <f t="shared" si="2"/>
        <v>20709.666666666661</v>
      </c>
      <c r="H18" s="52" t="str">
        <f t="shared" si="1"/>
        <v>🟢 OK</v>
      </c>
    </row>
    <row r="19" spans="1:9">
      <c r="A19" s="277" t="s">
        <v>234</v>
      </c>
      <c r="B19" s="202">
        <f>SUM(B7:B18)</f>
        <v>194000</v>
      </c>
      <c r="C19" s="202">
        <f>SUM(C7:C18)</f>
        <v>0</v>
      </c>
      <c r="D19" s="202">
        <f>SUM(D7:D18)</f>
        <v>183290.33333333331</v>
      </c>
      <c r="E19" s="202">
        <f>SUM(E7:E18)</f>
        <v>0</v>
      </c>
      <c r="F19" s="202">
        <f t="shared" si="0"/>
        <v>10709.666666666686</v>
      </c>
      <c r="G19" s="202">
        <f>G18</f>
        <v>20709.666666666661</v>
      </c>
      <c r="H19" s="88"/>
    </row>
    <row r="20" spans="1:9">
      <c r="A20" s="50"/>
      <c r="B20" s="51"/>
      <c r="C20" s="51"/>
      <c r="D20" s="51"/>
      <c r="E20" s="52"/>
      <c r="F20" s="52"/>
      <c r="G20" s="52"/>
      <c r="H20" s="52"/>
    </row>
    <row r="21" spans="1:9" ht="18">
      <c r="A21" s="347" t="s">
        <v>327</v>
      </c>
      <c r="B21" s="346"/>
      <c r="C21" s="346"/>
      <c r="D21" s="346"/>
      <c r="E21" s="346"/>
      <c r="F21" s="346"/>
      <c r="G21" s="346"/>
      <c r="H21" s="346"/>
    </row>
    <row r="22" spans="1:9">
      <c r="B22" t="s">
        <v>379</v>
      </c>
      <c r="C22" s="7" cm="1">
        <f t="array" ref="C22">IFERROR(INDEX(G$7:G$18,MATCH(EOMONTH($J$3,-1),A$7:A$18,0)),$B$4)+SUMPRODUCT((tb_receitas[📅 Data]&gt;=DATE(YEAR($J$3),MONTH($J$3),1))*(tb_receitas[📅 Data]&lt;$J$3)*(tb_receitas[📊 Status]="Realizado")*(tb_receitas[💵 Valor]))-SUMPRODUCT((tbDespesas[📅 Data]&gt;=DATE(YEAR($J$3),MONTH($J$3),1))*(tbDespesas[📅 Data]&lt;$J$3)*(tbDespesas[📊 Status]="Realizado")*(tbDespesas[💰 Valor]))-SUMPRODUCT((tbParcelas6[Data_Vencimento]&gt;=DATE(YEAR($J$3),MONTH($J$3),1))*(tbParcelas6[Data_Vencimento]&lt;$J$3)*(tbParcelas6[Valor_Parcela]))</f>
        <v>14468.333333333334</v>
      </c>
    </row>
    <row r="23" spans="1:9">
      <c r="A23" s="286" t="s">
        <v>365</v>
      </c>
      <c r="B23" s="285" t="s">
        <v>235</v>
      </c>
      <c r="C23" s="285" t="s">
        <v>328</v>
      </c>
      <c r="D23" s="285" t="s">
        <v>329</v>
      </c>
      <c r="E23" s="285" t="s">
        <v>330</v>
      </c>
      <c r="F23" s="285" t="s">
        <v>331</v>
      </c>
      <c r="G23" s="285" t="s">
        <v>332</v>
      </c>
      <c r="H23" s="292"/>
      <c r="I23" s="278" t="s">
        <v>364</v>
      </c>
    </row>
    <row r="24" spans="1:9">
      <c r="A24" s="287">
        <v>1</v>
      </c>
      <c r="B24" s="298">
        <f>$J$3+0</f>
        <v>45795</v>
      </c>
      <c r="C24" s="280" t="str">
        <f t="shared" ref="C24:C53" si="3">TEXT(B24,"ddd")</f>
        <v>dom</v>
      </c>
      <c r="D24" s="335" cm="1">
        <f t="array" ref="D24">SUMPRODUCT((tb_receitas[📅 Data]=$B24)*(tb_receitas[📊 Status]="Realizado")*tb_receitas[💵 Valor])+SUMPRODUCT((tb_receitas[📅 Data]=$B24)*(tb_receitas[📊 Status]="Previsto")*tb_receitas[💵 Valor])+SUMPRODUCT((tbPrevisoes[📅 DATA]=$B24)*(tbPrevisoes[📂 TIPO]="Receita")*(tbPrevisoes[✅ STATUS]="Ativa")*tbPrevisoes[💰 VALOR])</f>
        <v>0</v>
      </c>
      <c r="E24" s="335" cm="1">
        <f t="array" ref="E24">SUMPRODUCT((tbDespesas[📅 Data]=$B24)*(tbDespesas[📊 Status]="Realizado")*tbDespesas[💰 Valor])+SUMPRODUCT((tbDespesas[📅 Data]=$B24)*(tbDespesas[📊 Status]="Previsto")*tbDespesas[💰 Valor])+SUMPRODUCT((tbParcelas6[Data_Vencimento]=$B24)*tbParcelas6[Valor_Parcela])+SUMPRODUCT((tbPrevisoes[📅 DATA]=$B24)*(tbPrevisoes[📂 TIPO]="Despesa")*(tbPrevisoes[✅ STATUS]="Ativa")*tbPrevisoes[💰 VALOR])</f>
        <v>0</v>
      </c>
      <c r="F24" s="340">
        <f t="shared" ref="F24:F53" si="4">D24-E24</f>
        <v>0</v>
      </c>
      <c r="G24" s="340">
        <f>$C$22+F24</f>
        <v>14468.333333333334</v>
      </c>
      <c r="H24" s="293" t="str">
        <f t="shared" ref="H24:H53" ca="1" si="5">IF(B24=TODAY(),"📅","")</f>
        <v/>
      </c>
    </row>
    <row r="25" spans="1:9">
      <c r="A25" s="288">
        <v>2</v>
      </c>
      <c r="B25" s="299">
        <f>$J$3+1</f>
        <v>45796</v>
      </c>
      <c r="C25" s="281" t="str">
        <f t="shared" si="3"/>
        <v>seg</v>
      </c>
      <c r="D25" s="336" cm="1">
        <f t="array" ref="D25">SUMPRODUCT((tb_receitas[📅 Data]=$B25)*(tb_receitas[📊 Status]="Realizado")*tb_receitas[💵 Valor])+SUMPRODUCT((tb_receitas[📅 Data]=$B25)*(tb_receitas[📊 Status]="Previsto")*tb_receitas[💵 Valor])+SUMPRODUCT((tbPrevisoes[📅 DATA]=$B25)*(tbPrevisoes[📂 TIPO]="Receita")*(tbPrevisoes[✅ STATUS]="Ativa")*tbPrevisoes[💰 VALOR])</f>
        <v>0</v>
      </c>
      <c r="E25" s="336" cm="1">
        <f t="array" ref="E25">SUMPRODUCT((tbDespesas[📅 Data]=$B25)*(tbDespesas[📊 Status]="Realizado")*tbDespesas[💰 Valor])+SUMPRODUCT((tbDespesas[📅 Data]=$B25)*(tbDespesas[📊 Status]="Previsto")*tbDespesas[💰 Valor])+SUMPRODUCT((tbParcelas6[Data_Vencimento]=$B25)*tbParcelas6[Valor_Parcela])+SUMPRODUCT((tbPrevisoes[📅 DATA]=$B25)*(tbPrevisoes[📂 TIPO]="Despesa")*(tbPrevisoes[✅ STATUS]="Ativa")*tbPrevisoes[💰 VALOR])</f>
        <v>1104</v>
      </c>
      <c r="F25" s="341">
        <f t="shared" si="4"/>
        <v>-1104</v>
      </c>
      <c r="G25" s="341">
        <f t="shared" ref="G25:G53" si="6">G24+F25</f>
        <v>13364.333333333334</v>
      </c>
      <c r="H25" s="294" t="str">
        <f t="shared" ca="1" si="5"/>
        <v/>
      </c>
    </row>
    <row r="26" spans="1:9">
      <c r="A26" s="288">
        <v>3</v>
      </c>
      <c r="B26" s="299">
        <f>$J$3+2</f>
        <v>45797</v>
      </c>
      <c r="C26" s="281" t="str">
        <f t="shared" si="3"/>
        <v>ter</v>
      </c>
      <c r="D26" s="336" cm="1">
        <f t="array" ref="D26">SUMPRODUCT((tb_receitas[📅 Data]=$B26)*(tb_receitas[📊 Status]="Realizado")*tb_receitas[💵 Valor])+SUMPRODUCT((tb_receitas[📅 Data]=$B26)*(tb_receitas[📊 Status]="Previsto")*tb_receitas[💵 Valor])+SUMPRODUCT((tbPrevisoes[📅 DATA]=$B26)*(tbPrevisoes[📂 TIPO]="Receita")*(tbPrevisoes[✅ STATUS]="Ativa")*tbPrevisoes[💰 VALOR])</f>
        <v>0</v>
      </c>
      <c r="E26" s="336" cm="1">
        <f t="array" ref="E26">SUMPRODUCT((tbDespesas[📅 Data]=$B26)*(tbDespesas[📊 Status]="Realizado")*tbDespesas[💰 Valor])+SUMPRODUCT((tbDespesas[📅 Data]=$B26)*(tbDespesas[📊 Status]="Previsto")*tbDespesas[💰 Valor])+SUMPRODUCT((tbParcelas6[Data_Vencimento]=$B26)*tbParcelas6[Valor_Parcela])+SUMPRODUCT((tbPrevisoes[📅 DATA]=$B26)*(tbPrevisoes[📂 TIPO]="Despesa")*(tbPrevisoes[✅ STATUS]="Ativa")*tbPrevisoes[💰 VALOR])</f>
        <v>0</v>
      </c>
      <c r="F26" s="341">
        <f t="shared" si="4"/>
        <v>0</v>
      </c>
      <c r="G26" s="341">
        <f t="shared" si="6"/>
        <v>13364.333333333334</v>
      </c>
      <c r="H26" s="294" t="str">
        <f t="shared" ca="1" si="5"/>
        <v/>
      </c>
    </row>
    <row r="27" spans="1:9">
      <c r="A27" s="288">
        <v>4</v>
      </c>
      <c r="B27" s="299">
        <f>$J$3+3</f>
        <v>45798</v>
      </c>
      <c r="C27" s="281" t="str">
        <f t="shared" si="3"/>
        <v>qua</v>
      </c>
      <c r="D27" s="336" cm="1">
        <f t="array" ref="D27">SUMPRODUCT((tb_receitas[📅 Data]=$B27)*(tb_receitas[📊 Status]="Realizado")*tb_receitas[💵 Valor])+SUMPRODUCT((tb_receitas[📅 Data]=$B27)*(tb_receitas[📊 Status]="Previsto")*tb_receitas[💵 Valor])+SUMPRODUCT((tbPrevisoes[📅 DATA]=$B27)*(tbPrevisoes[📂 TIPO]="Receita")*(tbPrevisoes[✅ STATUS]="Ativa")*tbPrevisoes[💰 VALOR])</f>
        <v>0</v>
      </c>
      <c r="E27" s="336" cm="1">
        <f t="array" ref="E27">SUMPRODUCT((tbDespesas[📅 Data]=$B27)*(tbDespesas[📊 Status]="Realizado")*tbDespesas[💰 Valor])+SUMPRODUCT((tbDespesas[📅 Data]=$B27)*(tbDespesas[📊 Status]="Previsto")*tbDespesas[💰 Valor])+SUMPRODUCT((tbParcelas6[Data_Vencimento]=$B27)*tbParcelas6[Valor_Parcela])+SUMPRODUCT((tbPrevisoes[📅 DATA]=$B27)*(tbPrevisoes[📂 TIPO]="Despesa")*(tbPrevisoes[✅ STATUS]="Ativa")*tbPrevisoes[💰 VALOR])</f>
        <v>300</v>
      </c>
      <c r="F27" s="341">
        <f t="shared" si="4"/>
        <v>-300</v>
      </c>
      <c r="G27" s="341">
        <f t="shared" si="6"/>
        <v>13064.333333333334</v>
      </c>
      <c r="H27" s="294" t="str">
        <f t="shared" ca="1" si="5"/>
        <v/>
      </c>
    </row>
    <row r="28" spans="1:9">
      <c r="A28" s="288">
        <v>5</v>
      </c>
      <c r="B28" s="299">
        <f>$J$3+4</f>
        <v>45799</v>
      </c>
      <c r="C28" s="281" t="str">
        <f t="shared" si="3"/>
        <v>qui</v>
      </c>
      <c r="D28" s="336" cm="1">
        <f t="array" ref="D28">SUMPRODUCT((tb_receitas[📅 Data]=$B28)*(tb_receitas[📊 Status]="Realizado")*tb_receitas[💵 Valor])+SUMPRODUCT((tb_receitas[📅 Data]=$B28)*(tb_receitas[📊 Status]="Previsto")*tb_receitas[💵 Valor])+SUMPRODUCT((tbPrevisoes[📅 DATA]=$B28)*(tbPrevisoes[📂 TIPO]="Receita")*(tbPrevisoes[✅ STATUS]="Ativa")*tbPrevisoes[💰 VALOR])</f>
        <v>0</v>
      </c>
      <c r="E28" s="336" cm="1">
        <f t="array" ref="E28">SUMPRODUCT((tbDespesas[📅 Data]=$B28)*(tbDespesas[📊 Status]="Realizado")*tbDespesas[💰 Valor])+SUMPRODUCT((tbDespesas[📅 Data]=$B28)*(tbDespesas[📊 Status]="Previsto")*tbDespesas[💰 Valor])+SUMPRODUCT((tbParcelas6[Data_Vencimento]=$B28)*tbParcelas6[Valor_Parcela])+SUMPRODUCT((tbPrevisoes[📅 DATA]=$B28)*(tbPrevisoes[📂 TIPO]="Despesa")*(tbPrevisoes[✅ STATUS]="Ativa")*tbPrevisoes[💰 VALOR])</f>
        <v>0</v>
      </c>
      <c r="F28" s="341">
        <f t="shared" si="4"/>
        <v>0</v>
      </c>
      <c r="G28" s="341">
        <f t="shared" si="6"/>
        <v>13064.333333333334</v>
      </c>
      <c r="H28" s="294" t="str">
        <f t="shared" ca="1" si="5"/>
        <v/>
      </c>
    </row>
    <row r="29" spans="1:9">
      <c r="A29" s="288">
        <v>6</v>
      </c>
      <c r="B29" s="299">
        <f>$J$3+5</f>
        <v>45800</v>
      </c>
      <c r="C29" s="281" t="str">
        <f t="shared" si="3"/>
        <v>sex</v>
      </c>
      <c r="D29" s="336" cm="1">
        <f t="array" ref="D29">SUMPRODUCT((tb_receitas[📅 Data]=$B29)*(tb_receitas[📊 Status]="Realizado")*tb_receitas[💵 Valor])+SUMPRODUCT((tb_receitas[📅 Data]=$B29)*(tb_receitas[📊 Status]="Previsto")*tb_receitas[💵 Valor])+SUMPRODUCT((tbPrevisoes[📅 DATA]=$B29)*(tbPrevisoes[📂 TIPO]="Receita")*(tbPrevisoes[✅ STATUS]="Ativa")*tbPrevisoes[💰 VALOR])</f>
        <v>0</v>
      </c>
      <c r="E29" s="336" cm="1">
        <f t="array" ref="E29">SUMPRODUCT((tbDespesas[📅 Data]=$B29)*(tbDespesas[📊 Status]="Realizado")*tbDespesas[💰 Valor])+SUMPRODUCT((tbDespesas[📅 Data]=$B29)*(tbDespesas[📊 Status]="Previsto")*tbDespesas[💰 Valor])+SUMPRODUCT((tbParcelas6[Data_Vencimento]=$B29)*tbParcelas6[Valor_Parcela])+SUMPRODUCT((tbPrevisoes[📅 DATA]=$B29)*(tbPrevisoes[📂 TIPO]="Despesa")*(tbPrevisoes[✅ STATUS]="Ativa")*tbPrevisoes[💰 VALOR])</f>
        <v>0</v>
      </c>
      <c r="F29" s="341">
        <f t="shared" si="4"/>
        <v>0</v>
      </c>
      <c r="G29" s="341">
        <f t="shared" si="6"/>
        <v>13064.333333333334</v>
      </c>
      <c r="H29" s="294" t="str">
        <f t="shared" ca="1" si="5"/>
        <v/>
      </c>
    </row>
    <row r="30" spans="1:9">
      <c r="A30" s="288">
        <v>7</v>
      </c>
      <c r="B30" s="299">
        <f>$J$3+6</f>
        <v>45801</v>
      </c>
      <c r="C30" s="281" t="str">
        <f t="shared" si="3"/>
        <v>sáb</v>
      </c>
      <c r="D30" s="336" cm="1">
        <f t="array" ref="D30">SUMPRODUCT((tb_receitas[📅 Data]=$B30)*(tb_receitas[📊 Status]="Realizado")*tb_receitas[💵 Valor])+SUMPRODUCT((tb_receitas[📅 Data]=$B30)*(tb_receitas[📊 Status]="Previsto")*tb_receitas[💵 Valor])+SUMPRODUCT((tbPrevisoes[📅 DATA]=$B30)*(tbPrevisoes[📂 TIPO]="Receita")*(tbPrevisoes[✅ STATUS]="Ativa")*tbPrevisoes[💰 VALOR])</f>
        <v>500</v>
      </c>
      <c r="E30" s="336" cm="1">
        <f t="array" ref="E30">SUMPRODUCT((tbDespesas[📅 Data]=$B30)*(tbDespesas[📊 Status]="Realizado")*tbDespesas[💰 Valor])+SUMPRODUCT((tbDespesas[📅 Data]=$B30)*(tbDespesas[📊 Status]="Previsto")*tbDespesas[💰 Valor])+SUMPRODUCT((tbParcelas6[Data_Vencimento]=$B30)*tbParcelas6[Valor_Parcela])+SUMPRODUCT((tbPrevisoes[📅 DATA]=$B30)*(tbPrevisoes[📂 TIPO]="Despesa")*(tbPrevisoes[✅ STATUS]="Ativa")*tbPrevisoes[💰 VALOR])</f>
        <v>1816</v>
      </c>
      <c r="F30" s="341">
        <f t="shared" si="4"/>
        <v>-1316</v>
      </c>
      <c r="G30" s="341">
        <f t="shared" si="6"/>
        <v>11748.333333333334</v>
      </c>
      <c r="H30" s="294" t="str">
        <f t="shared" ca="1" si="5"/>
        <v/>
      </c>
    </row>
    <row r="31" spans="1:9">
      <c r="A31" s="288">
        <v>8</v>
      </c>
      <c r="B31" s="299">
        <f>$J$3+7</f>
        <v>45802</v>
      </c>
      <c r="C31" s="281" t="str">
        <f t="shared" si="3"/>
        <v>dom</v>
      </c>
      <c r="D31" s="336" cm="1">
        <f t="array" ref="D31">SUMPRODUCT((tb_receitas[📅 Data]=$B31)*(tb_receitas[📊 Status]="Realizado")*tb_receitas[💵 Valor])+SUMPRODUCT((tb_receitas[📅 Data]=$B31)*(tb_receitas[📊 Status]="Previsto")*tb_receitas[💵 Valor])+SUMPRODUCT((tbPrevisoes[📅 DATA]=$B31)*(tbPrevisoes[📂 TIPO]="Receita")*(tbPrevisoes[✅ STATUS]="Ativa")*tbPrevisoes[💰 VALOR])</f>
        <v>0</v>
      </c>
      <c r="E31" s="336" cm="1">
        <f t="array" ref="E31">SUMPRODUCT((tbDespesas[📅 Data]=$B31)*(tbDespesas[📊 Status]="Realizado")*tbDespesas[💰 Valor])+SUMPRODUCT((tbDespesas[📅 Data]=$B31)*(tbDespesas[📊 Status]="Previsto")*tbDespesas[💰 Valor])+SUMPRODUCT((tbParcelas6[Data_Vencimento]=$B31)*tbParcelas6[Valor_Parcela])+SUMPRODUCT((tbPrevisoes[📅 DATA]=$B31)*(tbPrevisoes[📂 TIPO]="Despesa")*(tbPrevisoes[✅ STATUS]="Ativa")*tbPrevisoes[💰 VALOR])</f>
        <v>0</v>
      </c>
      <c r="F31" s="341">
        <f t="shared" si="4"/>
        <v>0</v>
      </c>
      <c r="G31" s="341">
        <f t="shared" si="6"/>
        <v>11748.333333333334</v>
      </c>
      <c r="H31" s="294" t="str">
        <f t="shared" ca="1" si="5"/>
        <v/>
      </c>
    </row>
    <row r="32" spans="1:9">
      <c r="A32" s="288">
        <v>9</v>
      </c>
      <c r="B32" s="299">
        <f>$J$3+8</f>
        <v>45803</v>
      </c>
      <c r="C32" s="281" t="str">
        <f t="shared" si="3"/>
        <v>seg</v>
      </c>
      <c r="D32" s="336" cm="1">
        <f t="array" ref="D32">SUMPRODUCT((tb_receitas[📅 Data]=$B32)*(tb_receitas[📊 Status]="Realizado")*tb_receitas[💵 Valor])+SUMPRODUCT((tb_receitas[📅 Data]=$B32)*(tb_receitas[📊 Status]="Previsto")*tb_receitas[💵 Valor])+SUMPRODUCT((tbPrevisoes[📅 DATA]=$B32)*(tbPrevisoes[📂 TIPO]="Receita")*(tbPrevisoes[✅ STATUS]="Ativa")*tbPrevisoes[💰 VALOR])</f>
        <v>0</v>
      </c>
      <c r="E32" s="336" cm="1">
        <f t="array" ref="E32">SUMPRODUCT((tbDespesas[📅 Data]=$B32)*(tbDespesas[📊 Status]="Realizado")*tbDespesas[💰 Valor])+SUMPRODUCT((tbDespesas[📅 Data]=$B32)*(tbDespesas[📊 Status]="Previsto")*tbDespesas[💰 Valor])+SUMPRODUCT((tbParcelas6[Data_Vencimento]=$B32)*tbParcelas6[Valor_Parcela])+SUMPRODUCT((tbPrevisoes[📅 DATA]=$B32)*(tbPrevisoes[📂 TIPO]="Despesa")*(tbPrevisoes[✅ STATUS]="Ativa")*tbPrevisoes[💰 VALOR])</f>
        <v>0</v>
      </c>
      <c r="F32" s="341">
        <f t="shared" si="4"/>
        <v>0</v>
      </c>
      <c r="G32" s="341">
        <f t="shared" si="6"/>
        <v>11748.333333333334</v>
      </c>
      <c r="H32" s="294" t="str">
        <f t="shared" ca="1" si="5"/>
        <v/>
      </c>
    </row>
    <row r="33" spans="1:8">
      <c r="A33" s="288">
        <v>10</v>
      </c>
      <c r="B33" s="299">
        <f>$J$3+9</f>
        <v>45804</v>
      </c>
      <c r="C33" s="281" t="str">
        <f t="shared" si="3"/>
        <v>ter</v>
      </c>
      <c r="D33" s="336" cm="1">
        <f t="array" ref="D33">SUMPRODUCT((tb_receitas[📅 Data]=$B33)*(tb_receitas[📊 Status]="Realizado")*tb_receitas[💵 Valor])+SUMPRODUCT((tb_receitas[📅 Data]=$B33)*(tb_receitas[📊 Status]="Previsto")*tb_receitas[💵 Valor])+SUMPRODUCT((tbPrevisoes[📅 DATA]=$B33)*(tbPrevisoes[📂 TIPO]="Receita")*(tbPrevisoes[✅ STATUS]="Ativa")*tbPrevisoes[💰 VALOR])</f>
        <v>0</v>
      </c>
      <c r="E33" s="336" cm="1">
        <f t="array" ref="E33">SUMPRODUCT((tbDespesas[📅 Data]=$B33)*(tbDespesas[📊 Status]="Realizado")*tbDespesas[💰 Valor])+SUMPRODUCT((tbDespesas[📅 Data]=$B33)*(tbDespesas[📊 Status]="Previsto")*tbDespesas[💰 Valor])+SUMPRODUCT((tbParcelas6[Data_Vencimento]=$B33)*tbParcelas6[Valor_Parcela])+SUMPRODUCT((tbPrevisoes[📅 DATA]=$B33)*(tbPrevisoes[📂 TIPO]="Despesa")*(tbPrevisoes[✅ STATUS]="Ativa")*tbPrevisoes[💰 VALOR])</f>
        <v>720</v>
      </c>
      <c r="F33" s="341">
        <f t="shared" si="4"/>
        <v>-720</v>
      </c>
      <c r="G33" s="341">
        <f t="shared" si="6"/>
        <v>11028.333333333334</v>
      </c>
      <c r="H33" s="294" t="str">
        <f t="shared" ca="1" si="5"/>
        <v/>
      </c>
    </row>
    <row r="34" spans="1:8">
      <c r="A34" s="288">
        <v>11</v>
      </c>
      <c r="B34" s="299">
        <f>$J$3+10</f>
        <v>45805</v>
      </c>
      <c r="C34" s="281" t="str">
        <f t="shared" si="3"/>
        <v>qua</v>
      </c>
      <c r="D34" s="336" cm="1">
        <f t="array" ref="D34">SUMPRODUCT((tb_receitas[📅 Data]=$B34)*(tb_receitas[📊 Status]="Realizado")*tb_receitas[💵 Valor])+SUMPRODUCT((tb_receitas[📅 Data]=$B34)*(tb_receitas[📊 Status]="Previsto")*tb_receitas[💵 Valor])+SUMPRODUCT((tbPrevisoes[📅 DATA]=$B34)*(tbPrevisoes[📂 TIPO]="Receita")*(tbPrevisoes[✅ STATUS]="Ativa")*tbPrevisoes[💰 VALOR])</f>
        <v>0</v>
      </c>
      <c r="E34" s="336" cm="1">
        <f t="array" ref="E34">SUMPRODUCT((tbDespesas[📅 Data]=$B34)*(tbDespesas[📊 Status]="Realizado")*tbDespesas[💰 Valor])+SUMPRODUCT((tbDespesas[📅 Data]=$B34)*(tbDespesas[📊 Status]="Previsto")*tbDespesas[💰 Valor])+SUMPRODUCT((tbParcelas6[Data_Vencimento]=$B34)*tbParcelas6[Valor_Parcela])+SUMPRODUCT((tbPrevisoes[📅 DATA]=$B34)*(tbPrevisoes[📂 TIPO]="Despesa")*(tbPrevisoes[✅ STATUS]="Ativa")*tbPrevisoes[💰 VALOR])</f>
        <v>0</v>
      </c>
      <c r="F34" s="341">
        <f t="shared" si="4"/>
        <v>0</v>
      </c>
      <c r="G34" s="341">
        <f t="shared" si="6"/>
        <v>11028.333333333334</v>
      </c>
      <c r="H34" s="294" t="str">
        <f t="shared" ca="1" si="5"/>
        <v/>
      </c>
    </row>
    <row r="35" spans="1:8">
      <c r="A35" s="288">
        <v>12</v>
      </c>
      <c r="B35" s="299">
        <f>$J$3+11</f>
        <v>45806</v>
      </c>
      <c r="C35" s="281" t="str">
        <f t="shared" si="3"/>
        <v>qui</v>
      </c>
      <c r="D35" s="336" cm="1">
        <f t="array" ref="D35">SUMPRODUCT((tb_receitas[📅 Data]=$B35)*(tb_receitas[📊 Status]="Realizado")*tb_receitas[💵 Valor])+SUMPRODUCT((tb_receitas[📅 Data]=$B35)*(tb_receitas[📊 Status]="Previsto")*tb_receitas[💵 Valor])+SUMPRODUCT((tbPrevisoes[📅 DATA]=$B35)*(tbPrevisoes[📂 TIPO]="Receita")*(tbPrevisoes[✅ STATUS]="Ativa")*tbPrevisoes[💰 VALOR])</f>
        <v>0</v>
      </c>
      <c r="E35" s="336" cm="1">
        <f t="array" ref="E35">SUMPRODUCT((tbDespesas[📅 Data]=$B35)*(tbDespesas[📊 Status]="Realizado")*tbDespesas[💰 Valor])+SUMPRODUCT((tbDespesas[📅 Data]=$B35)*(tbDespesas[📊 Status]="Previsto")*tbDespesas[💰 Valor])+SUMPRODUCT((tbParcelas6[Data_Vencimento]=$B35)*tbParcelas6[Valor_Parcela])+SUMPRODUCT((tbPrevisoes[📅 DATA]=$B35)*(tbPrevisoes[📂 TIPO]="Despesa")*(tbPrevisoes[✅ STATUS]="Ativa")*tbPrevisoes[💰 VALOR])</f>
        <v>0</v>
      </c>
      <c r="F35" s="341">
        <f t="shared" si="4"/>
        <v>0</v>
      </c>
      <c r="G35" s="341">
        <f t="shared" si="6"/>
        <v>11028.333333333334</v>
      </c>
      <c r="H35" s="294" t="str">
        <f t="shared" ca="1" si="5"/>
        <v/>
      </c>
    </row>
    <row r="36" spans="1:8">
      <c r="A36" s="288">
        <v>13</v>
      </c>
      <c r="B36" s="299">
        <f>$J$3+12</f>
        <v>45807</v>
      </c>
      <c r="C36" s="281" t="str">
        <f t="shared" si="3"/>
        <v>sex</v>
      </c>
      <c r="D36" s="336" cm="1">
        <f t="array" ref="D36">SUMPRODUCT((tb_receitas[📅 Data]=$B36)*(tb_receitas[📊 Status]="Realizado")*tb_receitas[💵 Valor])+SUMPRODUCT((tb_receitas[📅 Data]=$B36)*(tb_receitas[📊 Status]="Previsto")*tb_receitas[💵 Valor])+SUMPRODUCT((tbPrevisoes[📅 DATA]=$B36)*(tbPrevisoes[📂 TIPO]="Receita")*(tbPrevisoes[✅ STATUS]="Ativa")*tbPrevisoes[💰 VALOR])</f>
        <v>0</v>
      </c>
      <c r="E36" s="336" cm="1">
        <f t="array" ref="E36">SUMPRODUCT((tbDespesas[📅 Data]=$B36)*(tbDespesas[📊 Status]="Realizado")*tbDespesas[💰 Valor])+SUMPRODUCT((tbDespesas[📅 Data]=$B36)*(tbDespesas[📊 Status]="Previsto")*tbDespesas[💰 Valor])+SUMPRODUCT((tbParcelas6[Data_Vencimento]=$B36)*tbParcelas6[Valor_Parcela])+SUMPRODUCT((tbPrevisoes[📅 DATA]=$B36)*(tbPrevisoes[📂 TIPO]="Despesa")*(tbPrevisoes[✅ STATUS]="Ativa")*tbPrevisoes[💰 VALOR])</f>
        <v>0</v>
      </c>
      <c r="F36" s="341">
        <f t="shared" si="4"/>
        <v>0</v>
      </c>
      <c r="G36" s="341">
        <f t="shared" si="6"/>
        <v>11028.333333333334</v>
      </c>
      <c r="H36" s="294" t="str">
        <f t="shared" ca="1" si="5"/>
        <v/>
      </c>
    </row>
    <row r="37" spans="1:8">
      <c r="A37" s="288">
        <v>14</v>
      </c>
      <c r="B37" s="299">
        <f>$J$3+13</f>
        <v>45808</v>
      </c>
      <c r="C37" s="281" t="str">
        <f t="shared" si="3"/>
        <v>sáb</v>
      </c>
      <c r="D37" s="336" cm="1">
        <f t="array" ref="D37">SUMPRODUCT((tb_receitas[📅 Data]=$B37)*(tb_receitas[📊 Status]="Realizado")*tb_receitas[💵 Valor])+SUMPRODUCT((tb_receitas[📅 Data]=$B37)*(tb_receitas[📊 Status]="Previsto")*tb_receitas[💵 Valor])+SUMPRODUCT((tbPrevisoes[📅 DATA]=$B37)*(tbPrevisoes[📂 TIPO]="Receita")*(tbPrevisoes[✅ STATUS]="Ativa")*tbPrevisoes[💰 VALOR])</f>
        <v>500</v>
      </c>
      <c r="E37" s="336" cm="1">
        <f t="array" ref="E37">SUMPRODUCT((tbDespesas[📅 Data]=$B37)*(tbDespesas[📊 Status]="Realizado")*tbDespesas[💰 Valor])+SUMPRODUCT((tbDespesas[📅 Data]=$B37)*(tbDespesas[📊 Status]="Previsto")*tbDespesas[💰 Valor])+SUMPRODUCT((tbParcelas6[Data_Vencimento]=$B37)*tbParcelas6[Valor_Parcela])+SUMPRODUCT((tbPrevisoes[📅 DATA]=$B37)*(tbPrevisoes[📂 TIPO]="Despesa")*(tbPrevisoes[✅ STATUS]="Ativa")*tbPrevisoes[💰 VALOR])</f>
        <v>100</v>
      </c>
      <c r="F37" s="341">
        <f t="shared" si="4"/>
        <v>400</v>
      </c>
      <c r="G37" s="341">
        <f t="shared" si="6"/>
        <v>11428.333333333334</v>
      </c>
      <c r="H37" s="294" t="str">
        <f t="shared" ca="1" si="5"/>
        <v/>
      </c>
    </row>
    <row r="38" spans="1:8">
      <c r="A38" s="289">
        <v>15</v>
      </c>
      <c r="B38" s="300">
        <f>$J$3+14</f>
        <v>45809</v>
      </c>
      <c r="C38" s="282" t="str">
        <f t="shared" si="3"/>
        <v>dom</v>
      </c>
      <c r="D38" s="337" cm="1">
        <f t="array" ref="D38">SUMPRODUCT((tb_receitas[📅 Data]=$B38)*(tb_receitas[📊 Status]="Realizado")*tb_receitas[💵 Valor])+SUMPRODUCT((tb_receitas[📅 Data]=$B38)*(tb_receitas[📊 Status]="Previsto")*tb_receitas[💵 Valor])+SUMPRODUCT((tbPrevisoes[📅 DATA]=$B38)*(tbPrevisoes[📂 TIPO]="Receita")*(tbPrevisoes[✅ STATUS]="Ativa")*tbPrevisoes[💰 VALOR])</f>
        <v>0</v>
      </c>
      <c r="E38" s="337" cm="1">
        <f t="array" ref="E38">SUMPRODUCT((tbDespesas[📅 Data]=$B38)*(tbDespesas[📊 Status]="Realizado")*tbDespesas[💰 Valor])+SUMPRODUCT((tbDespesas[📅 Data]=$B38)*(tbDespesas[📊 Status]="Previsto")*tbDespesas[💰 Valor])+SUMPRODUCT((tbParcelas6[Data_Vencimento]=$B38)*tbParcelas6[Valor_Parcela])+SUMPRODUCT((tbPrevisoes[📅 DATA]=$B38)*(tbPrevisoes[📂 TIPO]="Despesa")*(tbPrevisoes[✅ STATUS]="Ativa")*tbPrevisoes[💰 VALOR])</f>
        <v>0</v>
      </c>
      <c r="F38" s="342">
        <f t="shared" si="4"/>
        <v>0</v>
      </c>
      <c r="G38" s="342">
        <f t="shared" si="6"/>
        <v>11428.333333333334</v>
      </c>
      <c r="H38" s="295" t="str">
        <f t="shared" ca="1" si="5"/>
        <v/>
      </c>
    </row>
    <row r="39" spans="1:8">
      <c r="A39" s="290">
        <v>16</v>
      </c>
      <c r="B39" s="301">
        <f>$J$3+15</f>
        <v>45810</v>
      </c>
      <c r="C39" s="283" t="str">
        <f t="shared" si="3"/>
        <v>seg</v>
      </c>
      <c r="D39" s="338" cm="1">
        <f t="array" ref="D39">SUMPRODUCT((tb_receitas[📅 Data]=$B39)*(tb_receitas[📊 Status]="Realizado")*tb_receitas[💵 Valor])+SUMPRODUCT((tb_receitas[📅 Data]=$B39)*(tb_receitas[📊 Status]="Previsto")*tb_receitas[💵 Valor])+SUMPRODUCT((tbPrevisoes[📅 DATA]=$B39)*(tbPrevisoes[📂 TIPO]="Receita")*(tbPrevisoes[✅ STATUS]="Ativa")*tbPrevisoes[💰 VALOR])</f>
        <v>0</v>
      </c>
      <c r="E39" s="338" cm="1">
        <f t="array" ref="E39">SUMPRODUCT((tbDespesas[📅 Data]=$B39)*(tbDespesas[📊 Status]="Realizado")*tbDespesas[💰 Valor])+SUMPRODUCT((tbDespesas[📅 Data]=$B39)*(tbDespesas[📊 Status]="Previsto")*tbDespesas[💰 Valor])+SUMPRODUCT((tbParcelas6[Data_Vencimento]=$B39)*tbParcelas6[Valor_Parcela])+SUMPRODUCT((tbPrevisoes[📅 DATA]=$B39)*(tbPrevisoes[📂 TIPO]="Despesa")*(tbPrevisoes[✅ STATUS]="Ativa")*tbPrevisoes[💰 VALOR])</f>
        <v>0</v>
      </c>
      <c r="F39" s="343">
        <f t="shared" si="4"/>
        <v>0</v>
      </c>
      <c r="G39" s="343">
        <f t="shared" si="6"/>
        <v>11428.333333333334</v>
      </c>
      <c r="H39" s="296" t="str">
        <f t="shared" ca="1" si="5"/>
        <v/>
      </c>
    </row>
    <row r="40" spans="1:8">
      <c r="A40" s="290">
        <v>17</v>
      </c>
      <c r="B40" s="301">
        <f>$J$3+16</f>
        <v>45811</v>
      </c>
      <c r="C40" s="283" t="str">
        <f t="shared" si="3"/>
        <v>ter</v>
      </c>
      <c r="D40" s="338" cm="1">
        <f t="array" ref="D40">SUMPRODUCT((tb_receitas[📅 Data]=$B40)*(tb_receitas[📊 Status]="Realizado")*tb_receitas[💵 Valor])+SUMPRODUCT((tb_receitas[📅 Data]=$B40)*(tb_receitas[📊 Status]="Previsto")*tb_receitas[💵 Valor])+SUMPRODUCT((tbPrevisoes[📅 DATA]=$B40)*(tbPrevisoes[📂 TIPO]="Receita")*(tbPrevisoes[✅ STATUS]="Ativa")*tbPrevisoes[💰 VALOR])</f>
        <v>0</v>
      </c>
      <c r="E40" s="338" cm="1">
        <f t="array" ref="E40">SUMPRODUCT((tbDespesas[📅 Data]=$B40)*(tbDespesas[📊 Status]="Realizado")*tbDespesas[💰 Valor])+SUMPRODUCT((tbDespesas[📅 Data]=$B40)*(tbDespesas[📊 Status]="Previsto")*tbDespesas[💰 Valor])+SUMPRODUCT((tbParcelas6[Data_Vencimento]=$B40)*tbParcelas6[Valor_Parcela])+SUMPRODUCT((tbPrevisoes[📅 DATA]=$B40)*(tbPrevisoes[📂 TIPO]="Despesa")*(tbPrevisoes[✅ STATUS]="Ativa")*tbPrevisoes[💰 VALOR])</f>
        <v>0</v>
      </c>
      <c r="F40" s="343">
        <f t="shared" si="4"/>
        <v>0</v>
      </c>
      <c r="G40" s="343">
        <f t="shared" si="6"/>
        <v>11428.333333333334</v>
      </c>
      <c r="H40" s="296" t="str">
        <f t="shared" ca="1" si="5"/>
        <v/>
      </c>
    </row>
    <row r="41" spans="1:8">
      <c r="A41" s="290">
        <v>18</v>
      </c>
      <c r="B41" s="301">
        <f>$J$3+17</f>
        <v>45812</v>
      </c>
      <c r="C41" s="283" t="str">
        <f t="shared" si="3"/>
        <v>qua</v>
      </c>
      <c r="D41" s="338" cm="1">
        <f t="array" ref="D41">SUMPRODUCT((tb_receitas[📅 Data]=$B41)*(tb_receitas[📊 Status]="Realizado")*tb_receitas[💵 Valor])+SUMPRODUCT((tb_receitas[📅 Data]=$B41)*(tb_receitas[📊 Status]="Previsto")*tb_receitas[💵 Valor])+SUMPRODUCT((tbPrevisoes[📅 DATA]=$B41)*(tbPrevisoes[📂 TIPO]="Receita")*(tbPrevisoes[✅ STATUS]="Ativa")*tbPrevisoes[💰 VALOR])</f>
        <v>8500</v>
      </c>
      <c r="E41" s="338" cm="1">
        <f t="array" ref="E41">SUMPRODUCT((tbDespesas[📅 Data]=$B41)*(tbDespesas[📊 Status]="Realizado")*tbDespesas[💰 Valor])+SUMPRODUCT((tbDespesas[📅 Data]=$B41)*(tbDespesas[📊 Status]="Previsto")*tbDespesas[💰 Valor])+SUMPRODUCT((tbParcelas6[Data_Vencimento]=$B41)*tbParcelas6[Valor_Parcela])+SUMPRODUCT((tbPrevisoes[📅 DATA]=$B41)*(tbPrevisoes[📂 TIPO]="Despesa")*(tbPrevisoes[✅ STATUS]="Ativa")*tbPrevisoes[💰 VALOR])</f>
        <v>2886</v>
      </c>
      <c r="F41" s="343">
        <f t="shared" si="4"/>
        <v>5614</v>
      </c>
      <c r="G41" s="343">
        <f t="shared" si="6"/>
        <v>17042.333333333336</v>
      </c>
      <c r="H41" s="296" t="str">
        <f t="shared" ca="1" si="5"/>
        <v/>
      </c>
    </row>
    <row r="42" spans="1:8">
      <c r="A42" s="290">
        <v>19</v>
      </c>
      <c r="B42" s="301">
        <f>$J$3+18</f>
        <v>45813</v>
      </c>
      <c r="C42" s="283" t="str">
        <f t="shared" si="3"/>
        <v>qui</v>
      </c>
      <c r="D42" s="338" cm="1">
        <f t="array" ref="D42">SUMPRODUCT((tb_receitas[📅 Data]=$B42)*(tb_receitas[📊 Status]="Realizado")*tb_receitas[💵 Valor])+SUMPRODUCT((tb_receitas[📅 Data]=$B42)*(tb_receitas[📊 Status]="Previsto")*tb_receitas[💵 Valor])+SUMPRODUCT((tbPrevisoes[📅 DATA]=$B42)*(tbPrevisoes[📂 TIPO]="Receita")*(tbPrevisoes[✅ STATUS]="Ativa")*tbPrevisoes[💰 VALOR])</f>
        <v>0</v>
      </c>
      <c r="E42" s="338" cm="1">
        <f t="array" ref="E42">SUMPRODUCT((tbDespesas[📅 Data]=$B42)*(tbDespesas[📊 Status]="Realizado")*tbDespesas[💰 Valor])+SUMPRODUCT((tbDespesas[📅 Data]=$B42)*(tbDespesas[📊 Status]="Previsto")*tbDespesas[💰 Valor])+SUMPRODUCT((tbParcelas6[Data_Vencimento]=$B42)*tbParcelas6[Valor_Parcela])+SUMPRODUCT((tbPrevisoes[📅 DATA]=$B42)*(tbPrevisoes[📂 TIPO]="Despesa")*(tbPrevisoes[✅ STATUS]="Ativa")*tbPrevisoes[💰 VALOR])</f>
        <v>0</v>
      </c>
      <c r="F42" s="343">
        <f t="shared" si="4"/>
        <v>0</v>
      </c>
      <c r="G42" s="343">
        <f t="shared" si="6"/>
        <v>17042.333333333336</v>
      </c>
      <c r="H42" s="296" t="str">
        <f t="shared" ca="1" si="5"/>
        <v/>
      </c>
    </row>
    <row r="43" spans="1:8">
      <c r="A43" s="290">
        <v>20</v>
      </c>
      <c r="B43" s="301">
        <f>$J$3+19</f>
        <v>45814</v>
      </c>
      <c r="C43" s="283" t="str">
        <f t="shared" si="3"/>
        <v>sex</v>
      </c>
      <c r="D43" s="338" cm="1">
        <f t="array" ref="D43">SUMPRODUCT((tb_receitas[📅 Data]=$B43)*(tb_receitas[📊 Status]="Realizado")*tb_receitas[💵 Valor])+SUMPRODUCT((tb_receitas[📅 Data]=$B43)*(tb_receitas[📊 Status]="Previsto")*tb_receitas[💵 Valor])+SUMPRODUCT((tbPrevisoes[📅 DATA]=$B43)*(tbPrevisoes[📂 TIPO]="Receita")*(tbPrevisoes[✅ STATUS]="Ativa")*tbPrevisoes[💰 VALOR])</f>
        <v>0</v>
      </c>
      <c r="E43" s="338" cm="1">
        <f t="array" ref="E43">SUMPRODUCT((tbDespesas[📅 Data]=$B43)*(tbDespesas[📊 Status]="Realizado")*tbDespesas[💰 Valor])+SUMPRODUCT((tbDespesas[📅 Data]=$B43)*(tbDespesas[📊 Status]="Previsto")*tbDespesas[💰 Valor])+SUMPRODUCT((tbParcelas6[Data_Vencimento]=$B43)*tbParcelas6[Valor_Parcela])+SUMPRODUCT((tbPrevisoes[📅 DATA]=$B43)*(tbPrevisoes[📂 TIPO]="Despesa")*(tbPrevisoes[✅ STATUS]="Ativa")*tbPrevisoes[💰 VALOR])</f>
        <v>0</v>
      </c>
      <c r="F43" s="343">
        <f t="shared" si="4"/>
        <v>0</v>
      </c>
      <c r="G43" s="343">
        <f t="shared" si="6"/>
        <v>17042.333333333336</v>
      </c>
      <c r="H43" s="296" t="str">
        <f t="shared" ca="1" si="5"/>
        <v/>
      </c>
    </row>
    <row r="44" spans="1:8">
      <c r="A44" s="290">
        <v>21</v>
      </c>
      <c r="B44" s="301">
        <f>$J$3+20</f>
        <v>45815</v>
      </c>
      <c r="C44" s="283" t="str">
        <f t="shared" si="3"/>
        <v>sáb</v>
      </c>
      <c r="D44" s="338" cm="1">
        <f t="array" ref="D44">SUMPRODUCT((tb_receitas[📅 Data]=$B44)*(tb_receitas[📊 Status]="Realizado")*tb_receitas[💵 Valor])+SUMPRODUCT((tb_receitas[📅 Data]=$B44)*(tb_receitas[📊 Status]="Previsto")*tb_receitas[💵 Valor])+SUMPRODUCT((tbPrevisoes[📅 DATA]=$B44)*(tbPrevisoes[📂 TIPO]="Receita")*(tbPrevisoes[✅ STATUS]="Ativa")*tbPrevisoes[💰 VALOR])</f>
        <v>0</v>
      </c>
      <c r="E44" s="338" cm="1">
        <f t="array" ref="E44">SUMPRODUCT((tbDespesas[📅 Data]=$B44)*(tbDespesas[📊 Status]="Realizado")*tbDespesas[💰 Valor])+SUMPRODUCT((tbDespesas[📅 Data]=$B44)*(tbDespesas[📊 Status]="Previsto")*tbDespesas[💰 Valor])+SUMPRODUCT((tbParcelas6[Data_Vencimento]=$B44)*tbParcelas6[Valor_Parcela])+SUMPRODUCT((tbPrevisoes[📅 DATA]=$B44)*(tbPrevisoes[📂 TIPO]="Despesa")*(tbPrevisoes[✅ STATUS]="Ativa")*tbPrevisoes[💰 VALOR])</f>
        <v>708</v>
      </c>
      <c r="F44" s="343">
        <f t="shared" si="4"/>
        <v>-708</v>
      </c>
      <c r="G44" s="343">
        <f t="shared" si="6"/>
        <v>16334.333333333336</v>
      </c>
      <c r="H44" s="296" t="str">
        <f t="shared" ca="1" si="5"/>
        <v/>
      </c>
    </row>
    <row r="45" spans="1:8">
      <c r="A45" s="290">
        <v>22</v>
      </c>
      <c r="B45" s="301">
        <f>$J$3+21</f>
        <v>45816</v>
      </c>
      <c r="C45" s="283" t="str">
        <f t="shared" si="3"/>
        <v>dom</v>
      </c>
      <c r="D45" s="338" cm="1">
        <f t="array" ref="D45">SUMPRODUCT((tb_receitas[📅 Data]=$B45)*(tb_receitas[📊 Status]="Realizado")*tb_receitas[💵 Valor])+SUMPRODUCT((tb_receitas[📅 Data]=$B45)*(tb_receitas[📊 Status]="Previsto")*tb_receitas[💵 Valor])+SUMPRODUCT((tbPrevisoes[📅 DATA]=$B45)*(tbPrevisoes[📂 TIPO]="Receita")*(tbPrevisoes[✅ STATUS]="Ativa")*tbPrevisoes[💰 VALOR])</f>
        <v>0</v>
      </c>
      <c r="E45" s="338" cm="1">
        <f t="array" ref="E45">SUMPRODUCT((tbDespesas[📅 Data]=$B45)*(tbDespesas[📊 Status]="Realizado")*tbDespesas[💰 Valor])+SUMPRODUCT((tbDespesas[📅 Data]=$B45)*(tbDespesas[📊 Status]="Previsto")*tbDespesas[💰 Valor])+SUMPRODUCT((tbParcelas6[Data_Vencimento]=$B45)*tbParcelas6[Valor_Parcela])+SUMPRODUCT((tbPrevisoes[📅 DATA]=$B45)*(tbPrevisoes[📂 TIPO]="Despesa")*(tbPrevisoes[✅ STATUS]="Ativa")*tbPrevisoes[💰 VALOR])</f>
        <v>0</v>
      </c>
      <c r="F45" s="343">
        <f t="shared" si="4"/>
        <v>0</v>
      </c>
      <c r="G45" s="343">
        <f t="shared" si="6"/>
        <v>16334.333333333336</v>
      </c>
      <c r="H45" s="296" t="str">
        <f t="shared" ca="1" si="5"/>
        <v/>
      </c>
    </row>
    <row r="46" spans="1:8">
      <c r="A46" s="290">
        <v>23</v>
      </c>
      <c r="B46" s="301">
        <f>$J$3+22</f>
        <v>45817</v>
      </c>
      <c r="C46" s="283" t="str">
        <f t="shared" si="3"/>
        <v>seg</v>
      </c>
      <c r="D46" s="338" cm="1">
        <f t="array" ref="D46">SUMPRODUCT((tb_receitas[📅 Data]=$B46)*(tb_receitas[📊 Status]="Realizado")*tb_receitas[💵 Valor])+SUMPRODUCT((tb_receitas[📅 Data]=$B46)*(tb_receitas[📊 Status]="Previsto")*tb_receitas[💵 Valor])+SUMPRODUCT((tbPrevisoes[📅 DATA]=$B46)*(tbPrevisoes[📂 TIPO]="Receita")*(tbPrevisoes[✅ STATUS]="Ativa")*tbPrevisoes[💰 VALOR])</f>
        <v>6500</v>
      </c>
      <c r="E46" s="338" cm="1">
        <f t="array" ref="E46">SUMPRODUCT((tbDespesas[📅 Data]=$B46)*(tbDespesas[📊 Status]="Realizado")*tbDespesas[💰 Valor])+SUMPRODUCT((tbDespesas[📅 Data]=$B46)*(tbDespesas[📊 Status]="Previsto")*tbDespesas[💰 Valor])+SUMPRODUCT((tbParcelas6[Data_Vencimento]=$B46)*tbParcelas6[Valor_Parcela])+SUMPRODUCT((tbPrevisoes[📅 DATA]=$B46)*(tbPrevisoes[📂 TIPO]="Despesa")*(tbPrevisoes[✅ STATUS]="Ativa")*tbPrevisoes[💰 VALOR])</f>
        <v>2921</v>
      </c>
      <c r="F46" s="343">
        <f t="shared" si="4"/>
        <v>3579</v>
      </c>
      <c r="G46" s="343">
        <f t="shared" si="6"/>
        <v>19913.333333333336</v>
      </c>
      <c r="H46" s="296" t="str">
        <f t="shared" ca="1" si="5"/>
        <v/>
      </c>
    </row>
    <row r="47" spans="1:8">
      <c r="A47" s="290">
        <v>24</v>
      </c>
      <c r="B47" s="301">
        <f>$J$3+23</f>
        <v>45818</v>
      </c>
      <c r="C47" s="283" t="str">
        <f t="shared" si="3"/>
        <v>ter</v>
      </c>
      <c r="D47" s="338" cm="1">
        <f t="array" ref="D47">SUMPRODUCT((tb_receitas[📅 Data]=$B47)*(tb_receitas[📊 Status]="Realizado")*tb_receitas[💵 Valor])+SUMPRODUCT((tb_receitas[📅 Data]=$B47)*(tb_receitas[📊 Status]="Previsto")*tb_receitas[💵 Valor])+SUMPRODUCT((tbPrevisoes[📅 DATA]=$B47)*(tbPrevisoes[📂 TIPO]="Receita")*(tbPrevisoes[✅ STATUS]="Ativa")*tbPrevisoes[💰 VALOR])</f>
        <v>0</v>
      </c>
      <c r="E47" s="338" cm="1">
        <f t="array" ref="E47">SUMPRODUCT((tbDespesas[📅 Data]=$B47)*(tbDespesas[📊 Status]="Realizado")*tbDespesas[💰 Valor])+SUMPRODUCT((tbDespesas[📅 Data]=$B47)*(tbDespesas[📊 Status]="Previsto")*tbDespesas[💰 Valor])+SUMPRODUCT((tbParcelas6[Data_Vencimento]=$B47)*tbParcelas6[Valor_Parcela])+SUMPRODUCT((tbPrevisoes[📅 DATA]=$B47)*(tbPrevisoes[📂 TIPO]="Despesa")*(tbPrevisoes[✅ STATUS]="Ativa")*tbPrevisoes[💰 VALOR])</f>
        <v>0</v>
      </c>
      <c r="F47" s="343">
        <f t="shared" si="4"/>
        <v>0</v>
      </c>
      <c r="G47" s="343">
        <f t="shared" si="6"/>
        <v>19913.333333333336</v>
      </c>
      <c r="H47" s="296" t="str">
        <f t="shared" ca="1" si="5"/>
        <v/>
      </c>
    </row>
    <row r="48" spans="1:8">
      <c r="A48" s="290">
        <v>25</v>
      </c>
      <c r="B48" s="301">
        <f>$J$3+24</f>
        <v>45819</v>
      </c>
      <c r="C48" s="283" t="str">
        <f t="shared" si="3"/>
        <v>qua</v>
      </c>
      <c r="D48" s="338" cm="1">
        <f t="array" ref="D48">SUMPRODUCT((tb_receitas[📅 Data]=$B48)*(tb_receitas[📊 Status]="Realizado")*tb_receitas[💵 Valor])+SUMPRODUCT((tb_receitas[📅 Data]=$B48)*(tb_receitas[📊 Status]="Previsto")*tb_receitas[💵 Valor])+SUMPRODUCT((tbPrevisoes[📅 DATA]=$B48)*(tbPrevisoes[📂 TIPO]="Receita")*(tbPrevisoes[✅ STATUS]="Ativa")*tbPrevisoes[💰 VALOR])</f>
        <v>0</v>
      </c>
      <c r="E48" s="338" cm="1">
        <f t="array" ref="E48">SUMPRODUCT((tbDespesas[📅 Data]=$B48)*(tbDespesas[📊 Status]="Realizado")*tbDespesas[💰 Valor])+SUMPRODUCT((tbDespesas[📅 Data]=$B48)*(tbDespesas[📊 Status]="Previsto")*tbDespesas[💰 Valor])+SUMPRODUCT((tbParcelas6[Data_Vencimento]=$B48)*tbParcelas6[Valor_Parcela])+SUMPRODUCT((tbPrevisoes[📅 DATA]=$B48)*(tbPrevisoes[📂 TIPO]="Despesa")*(tbPrevisoes[✅ STATUS]="Ativa")*tbPrevisoes[💰 VALOR])</f>
        <v>280</v>
      </c>
      <c r="F48" s="343">
        <f t="shared" si="4"/>
        <v>-280</v>
      </c>
      <c r="G48" s="343">
        <f t="shared" si="6"/>
        <v>19633.333333333336</v>
      </c>
      <c r="H48" s="296" t="str">
        <f t="shared" ca="1" si="5"/>
        <v/>
      </c>
    </row>
    <row r="49" spans="1:8">
      <c r="A49" s="290">
        <v>26</v>
      </c>
      <c r="B49" s="301">
        <f>$J$3+25</f>
        <v>45820</v>
      </c>
      <c r="C49" s="283" t="str">
        <f t="shared" si="3"/>
        <v>qui</v>
      </c>
      <c r="D49" s="338" cm="1">
        <f t="array" ref="D49">SUMPRODUCT((tb_receitas[📅 Data]=$B49)*(tb_receitas[📊 Status]="Realizado")*tb_receitas[💵 Valor])+SUMPRODUCT((tb_receitas[📅 Data]=$B49)*(tb_receitas[📊 Status]="Previsto")*tb_receitas[💵 Valor])+SUMPRODUCT((tbPrevisoes[📅 DATA]=$B49)*(tbPrevisoes[📂 TIPO]="Receita")*(tbPrevisoes[✅ STATUS]="Ativa")*tbPrevisoes[💰 VALOR])</f>
        <v>0</v>
      </c>
      <c r="E49" s="338" cm="1">
        <f t="array" ref="E49">SUMPRODUCT((tbDespesas[📅 Data]=$B49)*(tbDespesas[📊 Status]="Realizado")*tbDespesas[💰 Valor])+SUMPRODUCT((tbDespesas[📅 Data]=$B49)*(tbDespesas[📊 Status]="Previsto")*tbDespesas[💰 Valor])+SUMPRODUCT((tbParcelas6[Data_Vencimento]=$B49)*tbParcelas6[Valor_Parcela])+SUMPRODUCT((tbPrevisoes[📅 DATA]=$B49)*(tbPrevisoes[📂 TIPO]="Despesa")*(tbPrevisoes[✅ STATUS]="Ativa")*tbPrevisoes[💰 VALOR])</f>
        <v>0</v>
      </c>
      <c r="F49" s="343">
        <f t="shared" si="4"/>
        <v>0</v>
      </c>
      <c r="G49" s="343">
        <f t="shared" si="6"/>
        <v>19633.333333333336</v>
      </c>
      <c r="H49" s="296" t="str">
        <f t="shared" ca="1" si="5"/>
        <v/>
      </c>
    </row>
    <row r="50" spans="1:8">
      <c r="A50" s="290">
        <v>27</v>
      </c>
      <c r="B50" s="301">
        <f>$J$3+26</f>
        <v>45821</v>
      </c>
      <c r="C50" s="283" t="str">
        <f t="shared" si="3"/>
        <v>sex</v>
      </c>
      <c r="D50" s="338" cm="1">
        <f t="array" ref="D50">SUMPRODUCT((tb_receitas[📅 Data]=$B50)*(tb_receitas[📊 Status]="Realizado")*tb_receitas[💵 Valor])+SUMPRODUCT((tb_receitas[📅 Data]=$B50)*(tb_receitas[📊 Status]="Previsto")*tb_receitas[💵 Valor])+SUMPRODUCT((tbPrevisoes[📅 DATA]=$B50)*(tbPrevisoes[📂 TIPO]="Receita")*(tbPrevisoes[✅ STATUS]="Ativa")*tbPrevisoes[💰 VALOR])</f>
        <v>0</v>
      </c>
      <c r="E50" s="338" cm="1">
        <f t="array" ref="E50">SUMPRODUCT((tbDespesas[📅 Data]=$B50)*(tbDespesas[📊 Status]="Realizado")*tbDespesas[💰 Valor])+SUMPRODUCT((tbDespesas[📅 Data]=$B50)*(tbDespesas[📊 Status]="Previsto")*tbDespesas[💰 Valor])+SUMPRODUCT((tbParcelas6[Data_Vencimento]=$B50)*tbParcelas6[Valor_Parcela])+SUMPRODUCT((tbPrevisoes[📅 DATA]=$B50)*(tbPrevisoes[📂 TIPO]="Despesa")*(tbPrevisoes[✅ STATUS]="Ativa")*tbPrevisoes[💰 VALOR])</f>
        <v>0</v>
      </c>
      <c r="F50" s="343">
        <f t="shared" si="4"/>
        <v>0</v>
      </c>
      <c r="G50" s="343">
        <f t="shared" si="6"/>
        <v>19633.333333333336</v>
      </c>
      <c r="H50" s="296" t="str">
        <f t="shared" ca="1" si="5"/>
        <v/>
      </c>
    </row>
    <row r="51" spans="1:8">
      <c r="A51" s="290">
        <v>28</v>
      </c>
      <c r="B51" s="301">
        <f>$J$3+27</f>
        <v>45822</v>
      </c>
      <c r="C51" s="283" t="str">
        <f t="shared" si="3"/>
        <v>sáb</v>
      </c>
      <c r="D51" s="338" cm="1">
        <f t="array" ref="D51">SUMPRODUCT((tb_receitas[📅 Data]=$B51)*(tb_receitas[📊 Status]="Realizado")*tb_receitas[💵 Valor])+SUMPRODUCT((tb_receitas[📅 Data]=$B51)*(tb_receitas[📊 Status]="Previsto")*tb_receitas[💵 Valor])+SUMPRODUCT((tbPrevisoes[📅 DATA]=$B51)*(tbPrevisoes[📂 TIPO]="Receita")*(tbPrevisoes[✅ STATUS]="Ativa")*tbPrevisoes[💰 VALOR])</f>
        <v>0</v>
      </c>
      <c r="E51" s="338" cm="1">
        <f t="array" ref="E51">SUMPRODUCT((tbDespesas[📅 Data]=$B51)*(tbDespesas[📊 Status]="Realizado")*tbDespesas[💰 Valor])+SUMPRODUCT((tbDespesas[📅 Data]=$B51)*(tbDespesas[📊 Status]="Previsto")*tbDespesas[💰 Valor])+SUMPRODUCT((tbParcelas6[Data_Vencimento]=$B51)*tbParcelas6[Valor_Parcela])+SUMPRODUCT((tbPrevisoes[📅 DATA]=$B51)*(tbPrevisoes[📂 TIPO]="Despesa")*(tbPrevisoes[✅ STATUS]="Ativa")*tbPrevisoes[💰 VALOR])</f>
        <v>1064.5</v>
      </c>
      <c r="F51" s="343">
        <f t="shared" si="4"/>
        <v>-1064.5</v>
      </c>
      <c r="G51" s="343">
        <f t="shared" si="6"/>
        <v>18568.833333333336</v>
      </c>
      <c r="H51" s="296" t="str">
        <f t="shared" ca="1" si="5"/>
        <v/>
      </c>
    </row>
    <row r="52" spans="1:8">
      <c r="A52" s="290">
        <v>29</v>
      </c>
      <c r="B52" s="301">
        <f>$J$3+28</f>
        <v>45823</v>
      </c>
      <c r="C52" s="283" t="str">
        <f t="shared" si="3"/>
        <v>dom</v>
      </c>
      <c r="D52" s="338" cm="1">
        <f t="array" ref="D52">SUMPRODUCT((tb_receitas[📅 Data]=$B52)*(tb_receitas[📊 Status]="Realizado")*tb_receitas[💵 Valor])+SUMPRODUCT((tb_receitas[📅 Data]=$B52)*(tb_receitas[📊 Status]="Previsto")*tb_receitas[💵 Valor])+SUMPRODUCT((tbPrevisoes[📅 DATA]=$B52)*(tbPrevisoes[📂 TIPO]="Receita")*(tbPrevisoes[✅ STATUS]="Ativa")*tbPrevisoes[💰 VALOR])</f>
        <v>0</v>
      </c>
      <c r="E52" s="338" cm="1">
        <f t="array" ref="E52">SUMPRODUCT((tbDespesas[📅 Data]=$B52)*(tbDespesas[📊 Status]="Realizado")*tbDespesas[💰 Valor])+SUMPRODUCT((tbDespesas[📅 Data]=$B52)*(tbDespesas[📊 Status]="Previsto")*tbDespesas[💰 Valor])+SUMPRODUCT((tbParcelas6[Data_Vencimento]=$B52)*tbParcelas6[Valor_Parcela])+SUMPRODUCT((tbPrevisoes[📅 DATA]=$B52)*(tbPrevisoes[📂 TIPO]="Despesa")*(tbPrevisoes[✅ STATUS]="Ativa")*tbPrevisoes[💰 VALOR])</f>
        <v>0</v>
      </c>
      <c r="F52" s="343">
        <f t="shared" si="4"/>
        <v>0</v>
      </c>
      <c r="G52" s="343">
        <f t="shared" si="6"/>
        <v>18568.833333333336</v>
      </c>
      <c r="H52" s="296" t="str">
        <f t="shared" ca="1" si="5"/>
        <v/>
      </c>
    </row>
    <row r="53" spans="1:8">
      <c r="A53" s="290">
        <v>30</v>
      </c>
      <c r="B53" s="301">
        <f>$J$3+29</f>
        <v>45824</v>
      </c>
      <c r="C53" s="283" t="str">
        <f t="shared" si="3"/>
        <v>seg</v>
      </c>
      <c r="D53" s="338" cm="1">
        <f t="array" ref="D53">SUMPRODUCT((tb_receitas[📅 Data]=$B53)*(tb_receitas[📊 Status]="Realizado")*tb_receitas[💵 Valor])+SUMPRODUCT((tb_receitas[📅 Data]=$B53)*(tb_receitas[📊 Status]="Previsto")*tb_receitas[💵 Valor])+SUMPRODUCT((tbPrevisoes[📅 DATA]=$B53)*(tbPrevisoes[📂 TIPO]="Receita")*(tbPrevisoes[✅ STATUS]="Ativa")*tbPrevisoes[💰 VALOR])</f>
        <v>0</v>
      </c>
      <c r="E53" s="338" cm="1">
        <f t="array" ref="E53">SUMPRODUCT((tbDespesas[📅 Data]=$B53)*(tbDespesas[📊 Status]="Realizado")*tbDespesas[💰 Valor])+SUMPRODUCT((tbDespesas[📅 Data]=$B53)*(tbDespesas[📊 Status]="Previsto")*tbDespesas[💰 Valor])+SUMPRODUCT((tbParcelas6[Data_Vencimento]=$B53)*tbParcelas6[Valor_Parcela])+SUMPRODUCT((tbPrevisoes[📅 DATA]=$B53)*(tbPrevisoes[📂 TIPO]="Despesa")*(tbPrevisoes[✅ STATUS]="Ativa")*tbPrevisoes[💰 VALOR])</f>
        <v>190</v>
      </c>
      <c r="F53" s="343">
        <f t="shared" si="4"/>
        <v>-190</v>
      </c>
      <c r="G53" s="343">
        <f t="shared" si="6"/>
        <v>18378.833333333336</v>
      </c>
      <c r="H53" s="296" t="str">
        <f t="shared" ca="1" si="5"/>
        <v/>
      </c>
    </row>
    <row r="54" spans="1:8">
      <c r="A54" s="291" t="s">
        <v>366</v>
      </c>
      <c r="B54" s="284"/>
      <c r="C54" s="284"/>
      <c r="D54" s="339">
        <f>SUM(D24:D53)</f>
        <v>16000</v>
      </c>
      <c r="E54" s="339">
        <f>SUM(E24:E53)</f>
        <v>12089.5</v>
      </c>
      <c r="F54" s="344">
        <f>SUM(F24:F53)</f>
        <v>3910.5</v>
      </c>
      <c r="G54" s="344">
        <f>G53</f>
        <v>18378.833333333336</v>
      </c>
      <c r="H54" s="297"/>
    </row>
    <row r="56" spans="1:8">
      <c r="A56" s="10" t="s">
        <v>279</v>
      </c>
    </row>
    <row r="57" spans="1:8">
      <c r="A57" t="s">
        <v>367</v>
      </c>
    </row>
    <row r="58" spans="1:8">
      <c r="A58" t="s">
        <v>368</v>
      </c>
    </row>
    <row r="59" spans="1:8">
      <c r="A59" t="s">
        <v>369</v>
      </c>
    </row>
    <row r="60" spans="1:8">
      <c r="A60" t="s">
        <v>370</v>
      </c>
    </row>
    <row r="62" spans="1:8">
      <c r="A62" s="10" t="s">
        <v>371</v>
      </c>
    </row>
    <row r="63" spans="1:8">
      <c r="A63" t="s">
        <v>372</v>
      </c>
    </row>
    <row r="64" spans="1:8">
      <c r="A64" t="s">
        <v>373</v>
      </c>
    </row>
    <row r="65" spans="1:1">
      <c r="A65" t="s">
        <v>380</v>
      </c>
    </row>
    <row r="66" spans="1:1">
      <c r="A66" t="s">
        <v>377</v>
      </c>
    </row>
    <row r="67" spans="1:1">
      <c r="A67" t="s">
        <v>381</v>
      </c>
    </row>
  </sheetData>
  <mergeCells count="2">
    <mergeCell ref="A1:H1"/>
    <mergeCell ref="A21:H21"/>
  </mergeCells>
  <conditionalFormatting sqref="D7:E19">
    <cfRule type="cellIs" dxfId="8" priority="6" operator="lessThan">
      <formula>0</formula>
    </cfRule>
  </conditionalFormatting>
  <conditionalFormatting sqref="H7:H20">
    <cfRule type="cellIs" dxfId="7" priority="5" operator="lessThan">
      <formula>0</formula>
    </cfRule>
  </conditionalFormatting>
  <dataValidations disablePrompts="1" count="2">
    <dataValidation type="list" allowBlank="1" showInputMessage="1" showErrorMessage="1" sqref="B3" xr:uid="{0F31EB2E-BF4A-485F-B68D-0AEA1F2DE287}">
      <formula1>"2024,2025,2026,2027,2028,2029,2030"</formula1>
    </dataValidation>
    <dataValidation type="list" allowBlank="1" showInputMessage="1" showErrorMessage="1" sqref="E3" xr:uid="{CC7C142F-572C-423C-B4E6-635BB364AFBA}">
      <formula1>"0,1,2,3,4,5,6,7,8,9,10,11,12"</formula1>
    </dataValidation>
  </dataValidations>
  <pageMargins left="0.511811024" right="0.511811024" top="0.78740157499999996" bottom="0.78740157499999996" header="0.31496062000000002" footer="0.31496062000000002"/>
  <pageSetup paperSize="9" scale="4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48BC-0B6C-499F-A6A4-44A2B7369D99}">
  <sheetPr>
    <tabColor theme="7" tint="0.39997558519241921"/>
    <pageSetUpPr fitToPage="1"/>
  </sheetPr>
  <dimension ref="A1:Y100"/>
  <sheetViews>
    <sheetView showGridLines="0" topLeftCell="J1" zoomScale="90" zoomScaleNormal="90" workbookViewId="0">
      <pane ySplit="5" topLeftCell="A6" activePane="bottomLeft" state="frozen"/>
      <selection pane="bottomLeft" activeCell="U12" sqref="U12"/>
    </sheetView>
  </sheetViews>
  <sheetFormatPr defaultRowHeight="14.4"/>
  <cols>
    <col min="1" max="1" width="14.77734375" customWidth="1"/>
    <col min="2" max="5" width="18.5546875" customWidth="1"/>
    <col min="6" max="6" width="6.88671875" customWidth="1"/>
    <col min="8" max="8" width="15.77734375" customWidth="1"/>
    <col min="9" max="9" width="13.5546875" customWidth="1"/>
    <col min="10" max="10" width="13.88671875" customWidth="1"/>
    <col min="11" max="11" width="14.77734375" customWidth="1"/>
    <col min="12" max="12" width="10.5546875" customWidth="1"/>
    <col min="13" max="13" width="14.77734375" customWidth="1"/>
    <col min="14" max="14" width="38.44140625" customWidth="1"/>
    <col min="16" max="25" width="14.77734375" customWidth="1"/>
  </cols>
  <sheetData>
    <row r="1" spans="1:16" ht="45" customHeight="1">
      <c r="A1" s="369" t="s">
        <v>142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P1" s="312" t="s">
        <v>383</v>
      </c>
    </row>
    <row r="2" spans="1:16" ht="25.05" customHeight="1">
      <c r="A2" s="370" t="s">
        <v>143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</row>
    <row r="3" spans="1:16" ht="10.050000000000001" customHeight="1"/>
    <row r="4" spans="1:16" ht="15.6">
      <c r="A4" s="12" t="s">
        <v>144</v>
      </c>
      <c r="B4" s="13">
        <v>2025</v>
      </c>
      <c r="D4" s="12" t="s">
        <v>145</v>
      </c>
      <c r="E4" s="13">
        <v>0</v>
      </c>
      <c r="G4" s="14" t="s">
        <v>146</v>
      </c>
    </row>
    <row r="5" spans="1:16" ht="10.050000000000001" customHeight="1" thickBot="1"/>
    <row r="6" spans="1:16">
      <c r="A6" s="371" t="s">
        <v>147</v>
      </c>
      <c r="B6" s="372"/>
      <c r="D6" s="373" t="s">
        <v>148</v>
      </c>
      <c r="E6" s="374"/>
      <c r="G6" s="375" t="s">
        <v>149</v>
      </c>
      <c r="H6" s="376"/>
      <c r="J6" s="377" t="s">
        <v>150</v>
      </c>
      <c r="K6" s="378"/>
      <c r="M6" s="379" t="s">
        <v>151</v>
      </c>
      <c r="N6" s="380"/>
    </row>
    <row r="7" spans="1:16" ht="21.6" thickBot="1">
      <c r="A7" s="381" cm="1">
        <f t="array" ref="A7">SUMPRODUCT((YEAR(tb_receitas[📅 Data])=$B$4)*(IF($E$4=0,1,MONTH(tb_receitas[📅 Data])=$E$4))*tb_receitas[💵 Valor])+SUMPRODUCT((YEAR(tbPrevisoes[📅 DATA])=$B$4)*(IF($E$4=0,1,MONTH(tbPrevisoes[📅 DATA])=$E$4))*(tbPrevisoes[📂 TIPO]="Receita")*(tbPrevisoes[✅ STATUS]="Ativa")*tbPrevisoes[💰 VALOR])</f>
        <v>194000</v>
      </c>
      <c r="B7" s="382"/>
      <c r="D7" s="383" cm="1">
        <f t="array" ref="D7">SUMPRODUCT((YEAR(tbDespesas[📅 Data])=$B$4)*(IF($E$4=0,1,MONTH(tbDespesas[📅 Data])=$E$4))*(tbDespesas[📊 Status]="Realizado")*tbDespesas[💰 Valor])+SUMPRODUCT((YEAR(tbParcelas6[Data_Vencimento])=$B$4)*(IF($E$4=0,1,MONTH(tbParcelas6[Data_Vencimento])=$E$4))*tbParcelas6[Valor_Parcela])+SUMPRODUCT((YEAR(tbPrevisoes[📅 DATA])=$B$4)*(IF($E$4=0,1,MONTH(tbPrevisoes[📅 DATA])=$E$4))*(tbPrevisoes[📂 TIPO]="Despesa")*(tbPrevisoes[✅ STATUS]="Ativa")*tbPrevisoes[💰 VALOR])</f>
        <v>183290.33333333334</v>
      </c>
      <c r="E7" s="384"/>
      <c r="G7" s="385">
        <f>A7-D7</f>
        <v>10709.666666666657</v>
      </c>
      <c r="H7" s="386"/>
      <c r="J7" s="387" cm="1">
        <f t="array" ref="J7">SUMPRODUCT((YEAR(tb_investimentos[Data])=$B$4)*(IF($E$4=0,1,MONTH(tb_investimentos[Data])=$E$4))*(tb_investimentos[Movimento]="Aporte")*tb_investimentos[Valor])-SUMPRODUCT((YEAR(tb_investimentos[Data])=$B$4)*(IF($E$4=0,1,MONTH(tb_investimentos[Data])=$E$4))*(tb_investimentos[Movimento]="Resgate")*tb_investimentos[Valor])</f>
        <v>6200</v>
      </c>
      <c r="K7" s="388"/>
      <c r="M7" s="389">
        <f>IF(A7=0,0,(A7-D7)/A7)</f>
        <v>5.520446735395184E-2</v>
      </c>
      <c r="N7" s="390"/>
    </row>
    <row r="8" spans="1:16" s="303" customFormat="1" ht="21">
      <c r="A8" s="302"/>
      <c r="B8" s="302"/>
      <c r="D8" s="304"/>
      <c r="E8" s="304"/>
      <c r="G8" s="305"/>
      <c r="H8" s="305"/>
      <c r="J8" s="306"/>
      <c r="K8" s="306"/>
      <c r="M8" s="307"/>
      <c r="N8" s="307"/>
    </row>
    <row r="9" spans="1:16" s="303" customFormat="1" ht="21">
      <c r="A9" s="302"/>
      <c r="B9" s="302"/>
      <c r="D9" s="304"/>
      <c r="E9" s="304"/>
      <c r="G9" s="305"/>
      <c r="H9" s="305"/>
      <c r="J9" s="306"/>
      <c r="K9" s="306"/>
      <c r="M9" s="307"/>
      <c r="N9" s="307"/>
    </row>
    <row r="10" spans="1:16" s="303" customFormat="1" ht="21">
      <c r="A10" s="302"/>
      <c r="B10" s="302"/>
      <c r="D10" s="304"/>
      <c r="E10" s="304"/>
      <c r="G10" s="305"/>
      <c r="H10" s="305"/>
      <c r="J10" s="306"/>
      <c r="K10" s="306"/>
      <c r="M10" s="307"/>
      <c r="N10" s="307"/>
    </row>
    <row r="11" spans="1:16" s="303" customFormat="1" ht="21">
      <c r="A11" s="302"/>
      <c r="B11" s="302"/>
      <c r="D11" s="304"/>
      <c r="E11" s="304"/>
      <c r="G11" s="305"/>
      <c r="H11" s="305"/>
      <c r="J11" s="306"/>
      <c r="K11" s="306"/>
      <c r="M11" s="307"/>
      <c r="N11" s="307"/>
    </row>
    <row r="12" spans="1:16" s="303" customFormat="1" ht="21">
      <c r="A12" s="302"/>
      <c r="B12" s="302"/>
      <c r="D12" s="304"/>
      <c r="E12" s="304"/>
      <c r="G12" s="305"/>
      <c r="H12" s="305"/>
      <c r="J12" s="306"/>
      <c r="K12" s="306"/>
      <c r="M12" s="307"/>
      <c r="N12" s="307"/>
    </row>
    <row r="13" spans="1:16" s="303" customFormat="1" ht="21">
      <c r="A13" s="302"/>
      <c r="B13" s="302"/>
      <c r="D13" s="304"/>
      <c r="E13" s="304"/>
      <c r="G13" s="305"/>
      <c r="H13" s="305"/>
      <c r="J13" s="306"/>
      <c r="K13" s="306"/>
      <c r="M13" s="307"/>
      <c r="N13" s="307"/>
    </row>
    <row r="14" spans="1:16" s="303" customFormat="1" ht="21">
      <c r="A14" s="302"/>
      <c r="B14" s="302"/>
      <c r="D14" s="304"/>
      <c r="E14" s="304"/>
      <c r="G14" s="305"/>
      <c r="H14" s="305"/>
      <c r="J14" s="306"/>
      <c r="K14" s="306"/>
      <c r="M14" s="307"/>
      <c r="N14" s="307"/>
    </row>
    <row r="15" spans="1:16" s="303" customFormat="1" ht="21">
      <c r="A15" s="302"/>
      <c r="B15" s="302"/>
      <c r="D15" s="304"/>
      <c r="E15" s="304"/>
      <c r="G15" s="305"/>
      <c r="H15" s="305"/>
      <c r="J15" s="306"/>
      <c r="K15" s="306"/>
      <c r="M15" s="307"/>
      <c r="N15" s="307"/>
    </row>
    <row r="16" spans="1:16" s="303" customFormat="1" ht="21">
      <c r="A16" s="302"/>
      <c r="B16" s="302"/>
      <c r="D16" s="304"/>
      <c r="E16" s="304"/>
      <c r="G16" s="305"/>
      <c r="H16" s="305"/>
      <c r="J16" s="306"/>
      <c r="K16" s="306"/>
      <c r="M16" s="307"/>
      <c r="N16" s="307"/>
    </row>
    <row r="17" spans="1:17" s="303" customFormat="1" ht="21">
      <c r="A17" s="302"/>
      <c r="B17" s="302"/>
      <c r="D17" s="304"/>
      <c r="E17" s="304"/>
      <c r="G17" s="305"/>
      <c r="H17" s="305"/>
      <c r="J17" s="306"/>
      <c r="K17" s="306"/>
      <c r="M17" s="307"/>
      <c r="N17" s="307"/>
    </row>
    <row r="18" spans="1:17" s="303" customFormat="1" ht="21">
      <c r="A18" s="302"/>
      <c r="B18" s="302"/>
      <c r="D18" s="304"/>
      <c r="E18" s="304"/>
      <c r="G18" s="305"/>
      <c r="H18" s="305"/>
      <c r="J18" s="306"/>
      <c r="K18" s="306"/>
      <c r="M18" s="307"/>
      <c r="N18" s="307"/>
    </row>
    <row r="19" spans="1:17" s="303" customFormat="1" ht="21">
      <c r="A19" s="302"/>
      <c r="B19" s="302"/>
      <c r="D19" s="304"/>
      <c r="E19" s="304"/>
      <c r="G19" s="305"/>
      <c r="H19" s="305"/>
      <c r="J19" s="306"/>
      <c r="K19" s="306"/>
      <c r="M19" s="307"/>
      <c r="N19" s="307"/>
    </row>
    <row r="20" spans="1:17" s="303" customFormat="1" ht="21">
      <c r="A20" s="302"/>
      <c r="B20" s="302"/>
      <c r="D20" s="304"/>
      <c r="E20" s="304"/>
      <c r="G20" s="305"/>
      <c r="H20" s="305"/>
      <c r="J20" s="306"/>
      <c r="K20" s="306"/>
      <c r="M20" s="307"/>
      <c r="N20" s="307"/>
    </row>
    <row r="21" spans="1:17" ht="15" customHeight="1"/>
    <row r="22" spans="1:17" ht="15.6">
      <c r="A22" s="365" t="s">
        <v>152</v>
      </c>
      <c r="B22" s="365"/>
      <c r="C22" s="365"/>
      <c r="D22" s="365"/>
      <c r="E22" s="365"/>
      <c r="F22" s="365"/>
    </row>
    <row r="23" spans="1:17">
      <c r="A23" s="29" t="s">
        <v>1</v>
      </c>
      <c r="B23" s="29" t="s">
        <v>153</v>
      </c>
      <c r="C23" s="29" t="s">
        <v>154</v>
      </c>
      <c r="D23" s="29" t="s">
        <v>155</v>
      </c>
      <c r="E23" s="29" t="s">
        <v>156</v>
      </c>
      <c r="F23" s="29" t="s">
        <v>157</v>
      </c>
      <c r="P23" t="s">
        <v>1</v>
      </c>
      <c r="Q23" t="s">
        <v>6</v>
      </c>
    </row>
    <row r="24" spans="1:17">
      <c r="A24" s="30" t="s">
        <v>158</v>
      </c>
      <c r="B24" s="31">
        <f>IF($E$4=0,ORCAMENTO!$B$3*12,ORCAMENTO!$B$3)</f>
        <v>192000</v>
      </c>
      <c r="C24" s="31" cm="1">
        <f t="array" ref="C24">SUMPRODUCT((YEAR(tb_receitas[📅 Data])=$B$4)*(IF($E$4=0,1,MONTH(tb_receitas[📅 Data])=$E$4))*tb_receitas[💵 Valor])</f>
        <v>194000</v>
      </c>
      <c r="D24" s="31">
        <f t="shared" ref="D24:D29" si="0">C24-B24</f>
        <v>2000</v>
      </c>
      <c r="E24" s="32">
        <f t="shared" ref="E24:E29" si="1">IFERROR(D24/B24,0)</f>
        <v>1.0416666666666666E-2</v>
      </c>
      <c r="F24" s="33" t="str">
        <f>IF(D24&gt;=0,"✅ OK","⚠️ Abaixo")</f>
        <v>✅ OK</v>
      </c>
      <c r="P24" t="s">
        <v>23</v>
      </c>
      <c r="Q24" s="7">
        <f t="shared" ref="Q24:Q32" si="2">C32</f>
        <v>59508.333333333336</v>
      </c>
    </row>
    <row r="25" spans="1:17">
      <c r="A25" s="16" t="s">
        <v>12</v>
      </c>
      <c r="B25" s="17">
        <f>IF($E$4=0,ORCAMENTO!$B$4*12,ORCAMENTO!$B$4)</f>
        <v>180000</v>
      </c>
      <c r="C25" s="17" cm="1">
        <f t="array" ref="C25">SUMPRODUCT((tb_receitas[📂 Categoria]="Salário")*(YEAR(tb_receitas[📅 Data])=$B$4)*(IF($E$4=0,1,MONTH(tb_receitas[📅 Data])=$E$4))*tb_receitas[💵 Valor])</f>
        <v>180000</v>
      </c>
      <c r="D25" s="17">
        <f t="shared" si="0"/>
        <v>0</v>
      </c>
      <c r="E25" s="18">
        <f t="shared" si="1"/>
        <v>0</v>
      </c>
      <c r="F25" s="19" t="str">
        <f>IF(D25&gt;=0,"✅","⚠️")</f>
        <v>✅</v>
      </c>
      <c r="P25" t="s">
        <v>37</v>
      </c>
      <c r="Q25" s="7">
        <f t="shared" si="2"/>
        <v>27450</v>
      </c>
    </row>
    <row r="26" spans="1:17">
      <c r="A26" s="20" t="s">
        <v>13</v>
      </c>
      <c r="B26" s="21">
        <f>IF($E$4=0,ORCAMENTO!$B$11*12,ORCAMENTO!$B$11)</f>
        <v>6000</v>
      </c>
      <c r="C26" s="21" cm="1">
        <f t="array" ref="C26">SUMPRODUCT((tb_receitas[📂 Categoria]="Benefício")*(YEAR(tb_receitas[📅 Data])=$B$4)*(IF($E$4=0,1,MONTH(tb_receitas[📅 Data])=$E$4))*tb_receitas[💵 Valor])</f>
        <v>5500</v>
      </c>
      <c r="D26" s="21">
        <f t="shared" si="0"/>
        <v>-500</v>
      </c>
      <c r="E26" s="22">
        <f t="shared" si="1"/>
        <v>-8.3333333333333329E-2</v>
      </c>
      <c r="F26" s="23" t="str">
        <f>IF(D26&gt;=0,"✅","⚠️")</f>
        <v>⚠️</v>
      </c>
      <c r="P26" t="s">
        <v>44</v>
      </c>
      <c r="Q26" s="7">
        <f t="shared" si="2"/>
        <v>15866.666666666666</v>
      </c>
    </row>
    <row r="27" spans="1:17">
      <c r="A27" s="16" t="s">
        <v>414</v>
      </c>
      <c r="B27" s="17">
        <f>IF($E$4=0,ORCAMENTO!$B$14*12,ORCAMENTO!$B$14)</f>
        <v>6000</v>
      </c>
      <c r="C27" s="17" cm="1">
        <f t="array" ref="C27">SUMPRODUCT((tb_receitas[📂 Categoria]="Prestação Serviço Extra")*(YEAR(tb_receitas[📅 Data])=$B$4)*(IF($E$4=0,1,MONTH(tb_receitas[📅 Data])=$E$4))*tb_receitas[💵 Valor])</f>
        <v>6100</v>
      </c>
      <c r="D27" s="17">
        <f t="shared" si="0"/>
        <v>100</v>
      </c>
      <c r="E27" s="18">
        <f t="shared" si="1"/>
        <v>1.6666666666666666E-2</v>
      </c>
      <c r="F27" s="19" t="str">
        <f>IF(D27&gt;=0,"✅","⚠️")</f>
        <v>✅</v>
      </c>
      <c r="P27" t="s">
        <v>50</v>
      </c>
      <c r="Q27" s="7">
        <f t="shared" si="2"/>
        <v>10765</v>
      </c>
    </row>
    <row r="28" spans="1:17">
      <c r="A28" s="20" t="s">
        <v>17</v>
      </c>
      <c r="B28" s="21">
        <f>IF($E$4=0,ORCAMENTO!$B$12*12,ORCAMENTO!$B$12)</f>
        <v>0</v>
      </c>
      <c r="C28" s="21" cm="1">
        <f t="array" ref="C28">SUMPRODUCT((tb_receitas[📂 Categoria]="Convênios")*(YEAR(tb_receitas[📅 Data])=$B$4)*(IF($E$4=0,1,MONTH(tb_receitas[📅 Data])=$E$4))*tb_receitas[💵 Valor])</f>
        <v>0</v>
      </c>
      <c r="D28" s="21">
        <f t="shared" si="0"/>
        <v>0</v>
      </c>
      <c r="E28" s="22">
        <f t="shared" si="1"/>
        <v>0</v>
      </c>
      <c r="F28" s="23" t="str">
        <f>IF(D28&gt;=0,"✅","⚠️")</f>
        <v>✅</v>
      </c>
      <c r="P28" t="s">
        <v>54</v>
      </c>
      <c r="Q28" s="7">
        <f t="shared" si="2"/>
        <v>18917</v>
      </c>
    </row>
    <row r="29" spans="1:17">
      <c r="A29" s="24" t="s">
        <v>19</v>
      </c>
      <c r="B29" s="25">
        <f>IF($E$4=0,ORCAMENTO!$B$13*12,ORCAMENTO!$B$13)</f>
        <v>0</v>
      </c>
      <c r="C29" s="25" cm="1">
        <f t="array" ref="C29">SUMPRODUCT((tb_receitas[📂 Categoria]="Extra")*(YEAR(tb_receitas[📅 Data])=$B$4)*(IF($E$4=0,1,MONTH(tb_receitas[📅 Data])=$E$4))*tb_receitas[💵 Valor])</f>
        <v>2400</v>
      </c>
      <c r="D29" s="25">
        <f t="shared" si="0"/>
        <v>2400</v>
      </c>
      <c r="E29" s="26">
        <f t="shared" si="1"/>
        <v>0</v>
      </c>
      <c r="F29" s="27" t="str">
        <f>IF(D29&gt;=0,"✅","⚠️")</f>
        <v>✅</v>
      </c>
      <c r="P29" t="s">
        <v>58</v>
      </c>
      <c r="Q29" s="7">
        <f t="shared" si="2"/>
        <v>4971.6666666666661</v>
      </c>
    </row>
    <row r="30" spans="1:17">
      <c r="A30" s="16"/>
      <c r="B30" s="17"/>
      <c r="C30" s="17"/>
      <c r="D30" s="17"/>
      <c r="E30" s="18"/>
      <c r="F30" s="19"/>
      <c r="P30" t="s">
        <v>62</v>
      </c>
      <c r="Q30" s="7">
        <f t="shared" si="2"/>
        <v>10765</v>
      </c>
    </row>
    <row r="31" spans="1:17">
      <c r="A31" s="34" t="s">
        <v>159</v>
      </c>
      <c r="B31" s="35">
        <f>IF($E$4=0,ORCAMENTO!$B$20*12,ORCAMENTO!$B$20)</f>
        <v>150000</v>
      </c>
      <c r="C31" s="35" cm="1">
        <f t="array" ref="C31">SUMPRODUCT((YEAR(tbDespesas[📅 Data])=$B$4)*(IF($E$4=0,1,MONTH(tbDespesas[📅 Data])=$E$4))*tbDespesas[💰 Valor])+SUMPRODUCT((YEAR(tbParcelas6[Data_Vencimento])=$B$4)*(IF($E$4=0,1,MONTH(tbParcelas6[Data_Vencimento])=$E$4))*tbParcelas6[Valor_Parcela])</f>
        <v>183290.33333333334</v>
      </c>
      <c r="D31" s="35">
        <f t="shared" ref="D31:D42" si="3">B31-C31</f>
        <v>-33290.333333333343</v>
      </c>
      <c r="E31" s="311">
        <f>IF(B31=0,0,(B31-C31)/B31)</f>
        <v>-0.22193555555555561</v>
      </c>
      <c r="F31" s="36" t="str">
        <f>IF(D31&gt;=0,"✅ OK","🔴 Estouro")</f>
        <v>🔴 Estouro</v>
      </c>
      <c r="P31" t="s">
        <v>68</v>
      </c>
      <c r="Q31" s="7">
        <f t="shared" si="2"/>
        <v>1150</v>
      </c>
    </row>
    <row r="32" spans="1:17">
      <c r="A32" s="16" t="s">
        <v>23</v>
      </c>
      <c r="B32" s="17">
        <f>IF($E$4=0,ORCAMENTO!$B$21*12,ORCAMENTO!$B$21)</f>
        <v>57600</v>
      </c>
      <c r="C32" s="17" cm="1">
        <f t="array" ref="C32">SUMPRODUCT((tbDespesas[📂 Categoria]="Habitação")*(YEAR(tbDespesas[📅 Data])=$B$4)*(IF($E$4=0,1,MONTH(tbDespesas[📅 Data])=$E$4))*(tbDespesas[📊 Status]="Realizado")*tbDespesas[💰 Valor])+SUMPRODUCT((tbCartoes[📂 Categoria]="Habitação")*(YEAR(tbCartoes[📅 Data Compra])=$B$4)*(IF($E$4=0,1,MONTH(tbCartoes[📅 Data Compra])=$E$4))*tbCartoes[💳 Valor Total]*IF(tbCartoes[🔢 Parcelas]=0,0,1/tbCartoes[🔢 Parcelas]))</f>
        <v>59508.333333333336</v>
      </c>
      <c r="D32" s="17">
        <f t="shared" si="3"/>
        <v>-1908.3333333333358</v>
      </c>
      <c r="E32" s="18">
        <f t="shared" ref="E32:E42" si="4">IFERROR(D32/B32,0)</f>
        <v>-3.3130787037037077E-2</v>
      </c>
      <c r="F32" s="19" t="str">
        <f t="shared" ref="F32:F42" si="5">IF(D32&gt;=0,"✅","🔴")</f>
        <v>🔴</v>
      </c>
      <c r="P32" t="s">
        <v>69</v>
      </c>
      <c r="Q32" s="7">
        <f t="shared" si="2"/>
        <v>2450</v>
      </c>
    </row>
    <row r="33" spans="1:17">
      <c r="A33" s="20" t="s">
        <v>37</v>
      </c>
      <c r="B33" s="21">
        <f>IF($E$4=0,ORCAMENTO!$B$22*12,ORCAMENTO!$B$22)</f>
        <v>24000</v>
      </c>
      <c r="C33" s="21" cm="1">
        <f t="array" ref="C33">SUMPRODUCT((tbDespesas[📂 Categoria]="Alimentação")*(YEAR(tbDespesas[📅 Data])=$B$4)*(IF($E$4=0,1,MONTH(tbDespesas[📅 Data])=$E$4))*(tbDespesas[📊 Status]="Realizado")*tbDespesas[💰 Valor])+SUMPRODUCT((tbCartoes[📂 Categoria]="Alimentação")*(YEAR(tbCartoes[📅 Data Compra])=$B$4)*(IF($E$4=0,1,MONTH(tbCartoes[📅 Data Compra])=$E$4))*tbCartoes[💳 Valor Total]*IF(tbCartoes[🔢 Parcelas]=0,0,1/tbCartoes[🔢 Parcelas]))</f>
        <v>27450</v>
      </c>
      <c r="D33" s="21">
        <f t="shared" si="3"/>
        <v>-3450</v>
      </c>
      <c r="E33" s="22">
        <f t="shared" si="4"/>
        <v>-0.14374999999999999</v>
      </c>
      <c r="F33" s="23" t="str">
        <f t="shared" si="5"/>
        <v>🔴</v>
      </c>
      <c r="P33" t="s">
        <v>21</v>
      </c>
      <c r="Q33" s="7">
        <f>C42</f>
        <v>12300</v>
      </c>
    </row>
    <row r="34" spans="1:17">
      <c r="A34" s="16" t="s">
        <v>44</v>
      </c>
      <c r="B34" s="17">
        <f>IF($E$4=0,ORCAMENTO!$B$23*12,ORCAMENTO!$B$23)</f>
        <v>14400</v>
      </c>
      <c r="C34" s="17" cm="1">
        <f t="array" ref="C34">SUMPRODUCT((tbDespesas[📂 Categoria]="Transporte")*(YEAR(tbDespesas[📅 Data])=$B$4)*(IF($E$4=0,1,MONTH(tbDespesas[📅 Data])=$E$4))*(tbDespesas[📊 Status]="Realizado")*tbDespesas[💰 Valor])+SUMPRODUCT((tbCartoes[📂 Categoria]="Transporte")*(YEAR(tbCartoes[📅 Data Compra])=$B$4)*(IF($E$4=0,1,MONTH(tbCartoes[📅 Data Compra])=$E$4))*tbCartoes[💳 Valor Total]*IF(tbCartoes[🔢 Parcelas]=0,0,1/tbCartoes[🔢 Parcelas]))</f>
        <v>15866.666666666666</v>
      </c>
      <c r="D34" s="17">
        <f t="shared" si="3"/>
        <v>-1466.6666666666661</v>
      </c>
      <c r="E34" s="18">
        <f t="shared" si="4"/>
        <v>-0.1018518518518518</v>
      </c>
      <c r="F34" s="19" t="str">
        <f t="shared" si="5"/>
        <v>🔴</v>
      </c>
    </row>
    <row r="35" spans="1:17">
      <c r="A35" s="20" t="s">
        <v>50</v>
      </c>
      <c r="B35" s="21">
        <f>IF($E$4=0,ORCAMENTO!$B$24*12,ORCAMENTO!$B$24)</f>
        <v>9600</v>
      </c>
      <c r="C35" s="21" cm="1">
        <f t="array" ref="C35">SUMPRODUCT((tbDespesas[📂 Categoria]="Saúde")*(YEAR(tbDespesas[📅 Data])=$B$4)*(IF($E$4=0,1,MONTH(tbDespesas[📅 Data])=$E$4))*(tbDespesas[📊 Status]="Realizado")*tbDespesas[💰 Valor])+SUMPRODUCT((tbCartoes[📂 Categoria]="Saúde")*(YEAR(tbCartoes[📅 Data Compra])=$B$4)*(IF($E$4=0,1,MONTH(tbCartoes[📅 Data Compra])=$E$4))*tbCartoes[💳 Valor Total]*IF(tbCartoes[🔢 Parcelas]=0,0,1/tbCartoes[🔢 Parcelas]))</f>
        <v>10765</v>
      </c>
      <c r="D35" s="21">
        <f t="shared" si="3"/>
        <v>-1165</v>
      </c>
      <c r="E35" s="22">
        <f t="shared" si="4"/>
        <v>-0.12135416666666667</v>
      </c>
      <c r="F35" s="23" t="str">
        <f t="shared" si="5"/>
        <v>🔴</v>
      </c>
    </row>
    <row r="36" spans="1:17">
      <c r="A36" s="38" t="s">
        <v>54</v>
      </c>
      <c r="B36" s="39">
        <f>IF($E$4=0,ORCAMENTO!$B$25*12,ORCAMENTO!$B$25)</f>
        <v>18000</v>
      </c>
      <c r="C36" s="39" cm="1">
        <f t="array" ref="C36">SUMPRODUCT((tbDespesas[📂 Categoria]="Educação")*(YEAR(tbDespesas[📅 Data])=$B$4)*(IF($E$4=0,1,MONTH(tbDespesas[📅 Data])=$E$4))*(tbDespesas[📊 Status]="Realizado")*tbDespesas[💰 Valor])+SUMPRODUCT((tbCartoes[📂 Categoria]="Educação")*(YEAR(tbCartoes[📅 Data Compra])=$B$4)*(IF($E$4=0,1,MONTH(tbCartoes[📅 Data Compra])=$E$4))*tbCartoes[💳 Valor Total]*IF(tbCartoes[🔢 Parcelas]=0,0,1/tbCartoes[🔢 Parcelas]))</f>
        <v>18917</v>
      </c>
      <c r="D36" s="39">
        <f t="shared" si="3"/>
        <v>-917</v>
      </c>
      <c r="E36" s="40">
        <f t="shared" si="4"/>
        <v>-5.0944444444444445E-2</v>
      </c>
      <c r="F36" s="41" t="str">
        <f t="shared" si="5"/>
        <v>🔴</v>
      </c>
    </row>
    <row r="37" spans="1:17" ht="15" customHeight="1">
      <c r="A37" s="38" t="s">
        <v>58</v>
      </c>
      <c r="B37" s="39">
        <f>IF($E$4=0,ORCAMENTO!$B$26*12,ORCAMENTO!$B$26)</f>
        <v>3600</v>
      </c>
      <c r="C37" s="39" cm="1">
        <f t="array" ref="C37">SUMPRODUCT((tbDespesas[📂 Categoria]="Vestuário")*(YEAR(tbDespesas[📅 Data])=$B$4)*(IF($E$4=0,1,MONTH(tbDespesas[📅 Data])=$E$4))*(tbDespesas[📊 Status]="Realizado")*tbDespesas[💰 Valor])+SUMPRODUCT((tbCartoes[📂 Categoria]="Vestuário")*(YEAR(tbCartoes[📅 Data Compra])=$B$4)*(IF($E$4=0,1,MONTH(tbCartoes[📅 Data Compra])=$E$4))*tbCartoes[💳 Valor Total]*IF(tbCartoes[🔢 Parcelas]=0,0,1/tbCartoes[🔢 Parcelas]))</f>
        <v>4971.6666666666661</v>
      </c>
      <c r="D37" s="39">
        <f t="shared" si="3"/>
        <v>-1371.6666666666661</v>
      </c>
      <c r="E37" s="40">
        <f t="shared" si="4"/>
        <v>-0.38101851851851837</v>
      </c>
      <c r="F37" s="42" t="str">
        <f t="shared" si="5"/>
        <v>🔴</v>
      </c>
    </row>
    <row r="38" spans="1:17">
      <c r="A38" s="38" t="s">
        <v>62</v>
      </c>
      <c r="B38" s="39">
        <f>IF($E$4=0,ORCAMENTO!$B$27*12,ORCAMENTO!$B$27)</f>
        <v>7200</v>
      </c>
      <c r="C38" s="39" cm="1">
        <f t="array" ref="C38">SUMPRODUCT((tbDespesas[📂 Categoria]="Lazer")*(YEAR(tbDespesas[📅 Data])=$B$4)*(IF($E$4=0,1,MONTH(tbDespesas[📅 Data])=$E$4))*(tbDespesas[📊 Status]="Realizado")*tbDespesas[💰 Valor])+SUMPRODUCT((tbCartoes[📂 Categoria]="Lazer")*(YEAR(tbCartoes[📅 Data Compra])=$B$4)*(IF($E$4=0,1,MONTH(tbCartoes[📅 Data Compra])=$E$4))*tbCartoes[💳 Valor Total]*IF(tbCartoes[🔢 Parcelas]=0,0,1/tbCartoes[🔢 Parcelas]))</f>
        <v>10765</v>
      </c>
      <c r="D38" s="39">
        <f t="shared" si="3"/>
        <v>-3565</v>
      </c>
      <c r="E38" s="40">
        <f t="shared" si="4"/>
        <v>-0.49513888888888891</v>
      </c>
      <c r="F38" s="44" t="str">
        <f t="shared" si="5"/>
        <v>🔴</v>
      </c>
    </row>
    <row r="39" spans="1:17">
      <c r="A39" s="38" t="s">
        <v>68</v>
      </c>
      <c r="B39" s="39">
        <f>IF($E$4=0,ORCAMENTO!$B$29*12,ORCAMENTO!$B$29)</f>
        <v>2400</v>
      </c>
      <c r="C39" s="39" cm="1">
        <f t="array" ref="C39">SUMPRODUCT((tbDespesas[📂 Categoria]="Caridade")*(YEAR(tbDespesas[📅 Data])=$B$4)*(IF($E$4=0,1,MONTH(tbDespesas[📅 Data])=$E$4))*(tbDespesas[📊 Status]="Realizado")*tbDespesas[💰 Valor])+SUMPRODUCT((tbCartoes[📂 Categoria]="Caridade")*(YEAR(tbCartoes[📅 Data Compra])=$B$4)*(IF($E$4=0,1,MONTH(tbCartoes[📅 Data Compra])=$E$4))*tbCartoes[💳 Valor Total]*IF(tbCartoes[🔢 Parcelas]=0,0,1/tbCartoes[🔢 Parcelas]))</f>
        <v>1150</v>
      </c>
      <c r="D39" s="39">
        <f t="shared" si="3"/>
        <v>1250</v>
      </c>
      <c r="E39" s="40">
        <f t="shared" si="4"/>
        <v>0.52083333333333337</v>
      </c>
      <c r="F39" s="43" t="str">
        <f t="shared" si="5"/>
        <v>✅</v>
      </c>
    </row>
    <row r="40" spans="1:17">
      <c r="A40" s="38" t="s">
        <v>69</v>
      </c>
      <c r="B40" s="39">
        <f>IF($E$4=0,ORCAMENTO!$B$28*12,ORCAMENTO!$B$28)</f>
        <v>1200</v>
      </c>
      <c r="C40" s="39" cm="1">
        <f t="array" ref="C40">SUMPRODUCT((tbDespesas[📂 Categoria]="Trabalho")*(YEAR(tbDespesas[📅 Data])=$B$4)*(IF($E$4=0,1,MONTH(tbDespesas[📅 Data])=$E$4))*(tbDespesas[📊 Status]="Realizado")*tbDespesas[💰 Valor])+SUMPRODUCT((tbCartoes[📂 Categoria]="Trabalho")*(YEAR(tbCartoes[📅 Data Compra])=$B$4)*(IF($E$4=0,1,MONTH(tbCartoes[📅 Data Compra])=$E$4))*tbCartoes[💳 Valor Total]*IF(tbCartoes[🔢 Parcelas]=0,0,1/tbCartoes[🔢 Parcelas]))</f>
        <v>2450</v>
      </c>
      <c r="D40" s="39">
        <f t="shared" si="3"/>
        <v>-1250</v>
      </c>
      <c r="E40" s="40">
        <f t="shared" si="4"/>
        <v>-1.0416666666666667</v>
      </c>
      <c r="F40" s="44" t="str">
        <f t="shared" si="5"/>
        <v>🔴</v>
      </c>
    </row>
    <row r="41" spans="1:17">
      <c r="A41" s="38" t="s">
        <v>71</v>
      </c>
      <c r="B41" s="39">
        <f>IF($E$4=0,ORCAMENTO!$B$30*12,ORCAMENTO!$B$30)</f>
        <v>0</v>
      </c>
      <c r="C41" s="39" cm="1">
        <f t="array" ref="C41">SUMPRODUCT((tbDespesas[📂 Categoria]="Dívidas")*(YEAR(tbDespesas[📅 Data])=$B$4)*(IF($E$4=0,1,MONTH(tbDespesas[📅 Data])=$E$4))*(tbDespesas[📊 Status]="Realizado")*tbDespesas[💰 Valor])+SUMPRODUCT((tbCartoes[📂 Categoria]="Dívidas")*(YEAR(tbCartoes[📅 Data Compra])=$B$4)*(IF($E$4=0,1,MONTH(tbCartoes[📅 Data Compra])=$E$4))*tbCartoes[💳 Valor Total]*IF(tbCartoes[🔢 Parcelas]=0,0,1/tbCartoes[🔢 Parcelas]))</f>
        <v>0</v>
      </c>
      <c r="D41" s="39">
        <f t="shared" si="3"/>
        <v>0</v>
      </c>
      <c r="E41" s="40">
        <f t="shared" si="4"/>
        <v>0</v>
      </c>
      <c r="F41" s="43" t="str">
        <f t="shared" si="5"/>
        <v>✅</v>
      </c>
    </row>
    <row r="42" spans="1:17">
      <c r="A42" s="38" t="s">
        <v>21</v>
      </c>
      <c r="B42" s="39">
        <f>IF($E$4=0,ORCAMENTO!$B$31*12,ORCAMENTO!$B$31)</f>
        <v>12000</v>
      </c>
      <c r="C42" s="39" cm="1">
        <f t="array" ref="C42">SUMPRODUCT((tbDespesas[📂 Categoria]="Outros")*(YEAR(tbDespesas[📅 Data])=$B$4)*(IF($E$4=0,1,MONTH(tbDespesas[📅 Data])=$E$4))*(tbDespesas[📊 Status]="Realizado")*tbDespesas[💰 Valor])+SUMPRODUCT((tbCartoes[📂 Categoria]="Outros")*(YEAR(tbCartoes[📅 Data Compra])=$B$4)*(IF($E$4=0,1,MONTH(tbCartoes[📅 Data Compra])=$E$4))*tbCartoes[💳 Valor Total]*IF(tbCartoes[🔢 Parcelas]=0,0,1/tbCartoes[🔢 Parcelas]))</f>
        <v>12300</v>
      </c>
      <c r="D42" s="39">
        <f t="shared" si="3"/>
        <v>-300</v>
      </c>
      <c r="E42" s="40">
        <f t="shared" si="4"/>
        <v>-2.5000000000000001E-2</v>
      </c>
      <c r="F42" s="45" t="str">
        <f t="shared" si="5"/>
        <v>🔴</v>
      </c>
    </row>
    <row r="43" spans="1:17" ht="17.399999999999999" customHeight="1"/>
    <row r="44" spans="1:17" ht="17.399999999999999" customHeight="1"/>
    <row r="45" spans="1:17" ht="17.399999999999999" customHeight="1"/>
    <row r="46" spans="1:17" ht="17.399999999999999" customHeight="1"/>
    <row r="47" spans="1:17" ht="17.399999999999999" customHeight="1"/>
    <row r="48" spans="1:17" ht="17.399999999999999" customHeight="1"/>
    <row r="49" spans="8:25" ht="17.399999999999999" customHeight="1"/>
    <row r="50" spans="8:25" ht="17.399999999999999" customHeight="1"/>
    <row r="51" spans="8:25" ht="17.399999999999999" customHeight="1"/>
    <row r="52" spans="8:25" ht="17.399999999999999" customHeight="1">
      <c r="H52" s="303"/>
      <c r="I52" s="303"/>
      <c r="J52" s="303"/>
      <c r="K52" s="303"/>
      <c r="L52" s="303"/>
    </row>
    <row r="53" spans="8:25">
      <c r="H53" s="303"/>
      <c r="I53" s="303"/>
      <c r="J53" s="303"/>
      <c r="K53" s="303"/>
      <c r="L53" s="303"/>
      <c r="R53" t="s">
        <v>129</v>
      </c>
      <c r="S53" t="s">
        <v>139</v>
      </c>
      <c r="T53" t="s">
        <v>138</v>
      </c>
      <c r="U53" t="s">
        <v>161</v>
      </c>
      <c r="V53" t="s">
        <v>134</v>
      </c>
      <c r="X53" t="s">
        <v>129</v>
      </c>
      <c r="Y53" t="s">
        <v>134</v>
      </c>
    </row>
    <row r="54" spans="8:25" ht="15.6">
      <c r="H54" s="361"/>
      <c r="I54" s="361"/>
      <c r="J54" s="361"/>
      <c r="K54" s="361"/>
      <c r="L54" s="303"/>
      <c r="R54" t="s">
        <v>162</v>
      </c>
      <c r="S54">
        <f>FLUXO_CAIXA!B7</f>
        <v>16200</v>
      </c>
      <c r="T54">
        <f>FLUXO_CAIXA!D7</f>
        <v>12580</v>
      </c>
      <c r="U54">
        <v>24925.62</v>
      </c>
      <c r="V54">
        <v>24925.62</v>
      </c>
      <c r="X54" t="s">
        <v>129</v>
      </c>
      <c r="Y54" t="s">
        <v>326</v>
      </c>
    </row>
    <row r="55" spans="8:25" ht="15.6">
      <c r="H55" s="313"/>
      <c r="I55" s="313"/>
      <c r="J55" s="313"/>
      <c r="K55" s="313"/>
      <c r="L55" s="303"/>
      <c r="R55" t="s">
        <v>163</v>
      </c>
      <c r="S55">
        <f>FLUXO_CAIXA!B8</f>
        <v>15900</v>
      </c>
      <c r="T55">
        <f>FLUXO_CAIXA!D8</f>
        <v>14366.666666666666</v>
      </c>
      <c r="U55">
        <v>3176.09</v>
      </c>
      <c r="V55">
        <v>28101.71</v>
      </c>
      <c r="X55" t="s">
        <v>162</v>
      </c>
      <c r="Y55">
        <f>FLUXO_CAIXA!G7</f>
        <v>13620</v>
      </c>
    </row>
    <row r="56" spans="8:25" ht="15.6">
      <c r="H56" s="313"/>
      <c r="I56" s="313"/>
      <c r="J56" s="313"/>
      <c r="K56" s="313"/>
      <c r="L56" s="303"/>
      <c r="R56" t="s">
        <v>164</v>
      </c>
      <c r="S56">
        <f>FLUXO_CAIXA!B9</f>
        <v>16400</v>
      </c>
      <c r="T56">
        <f>FLUXO_CAIXA!D9</f>
        <v>14073.666666666668</v>
      </c>
      <c r="U56">
        <v>5131.1899999999996</v>
      </c>
      <c r="V56">
        <v>33232.9</v>
      </c>
      <c r="X56" t="s">
        <v>163</v>
      </c>
      <c r="Y56">
        <f>FLUXO_CAIXA!G8</f>
        <v>15153.333333333334</v>
      </c>
    </row>
    <row r="57" spans="8:25">
      <c r="H57" s="314"/>
      <c r="I57" s="314"/>
      <c r="J57" s="314"/>
      <c r="K57" s="314"/>
      <c r="L57" s="303"/>
      <c r="R57" t="s">
        <v>165</v>
      </c>
      <c r="S57">
        <f>FLUXO_CAIXA!B10</f>
        <v>16000</v>
      </c>
      <c r="T57">
        <f>FLUXO_CAIXA!D10</f>
        <v>16333.333333333334</v>
      </c>
      <c r="U57">
        <v>11810.41</v>
      </c>
      <c r="V57">
        <v>45043.31</v>
      </c>
      <c r="X57" t="s">
        <v>164</v>
      </c>
      <c r="Y57">
        <f>FLUXO_CAIXA!G9</f>
        <v>17479.666666666664</v>
      </c>
    </row>
    <row r="58" spans="8:25">
      <c r="H58" s="315"/>
      <c r="I58" s="316"/>
      <c r="J58" s="316"/>
      <c r="K58" s="316"/>
      <c r="L58" s="303"/>
      <c r="R58" t="s">
        <v>166</v>
      </c>
      <c r="S58">
        <f>FLUXO_CAIXA!B11</f>
        <v>16150</v>
      </c>
      <c r="T58">
        <f>FLUXO_CAIXA!D11</f>
        <v>15681.666666666666</v>
      </c>
      <c r="U58">
        <v>-14200.77</v>
      </c>
      <c r="V58">
        <v>30842.54</v>
      </c>
      <c r="X58" t="s">
        <v>165</v>
      </c>
      <c r="Y58">
        <f>FLUXO_CAIXA!G10</f>
        <v>17146.333333333328</v>
      </c>
    </row>
    <row r="59" spans="8:25">
      <c r="H59" s="315"/>
      <c r="I59" s="316"/>
      <c r="J59" s="316"/>
      <c r="K59" s="316"/>
      <c r="L59" s="303"/>
      <c r="R59" t="s">
        <v>167</v>
      </c>
      <c r="S59">
        <f>FLUXO_CAIXA!B12</f>
        <v>15950</v>
      </c>
      <c r="T59">
        <f>FLUXO_CAIXA!D12</f>
        <v>16428.333333333332</v>
      </c>
      <c r="U59">
        <v>-3901.7599999999902</v>
      </c>
      <c r="V59">
        <v>26940.78</v>
      </c>
      <c r="X59" t="s">
        <v>166</v>
      </c>
      <c r="Y59">
        <f>FLUXO_CAIXA!G11</f>
        <v>17614.666666666664</v>
      </c>
    </row>
    <row r="60" spans="8:25">
      <c r="H60" s="315"/>
      <c r="I60" s="316"/>
      <c r="J60" s="316"/>
      <c r="K60" s="316"/>
      <c r="L60" s="303"/>
      <c r="R60" t="s">
        <v>168</v>
      </c>
      <c r="S60">
        <f>FLUXO_CAIXA!B13</f>
        <v>16000</v>
      </c>
      <c r="T60">
        <f>FLUXO_CAIXA!D13</f>
        <v>16341.666666666668</v>
      </c>
      <c r="U60">
        <v>901.05999999999801</v>
      </c>
      <c r="V60">
        <v>27841.84</v>
      </c>
      <c r="X60" t="s">
        <v>167</v>
      </c>
      <c r="Y60">
        <f>FLUXO_CAIXA!G12</f>
        <v>17136.333333333332</v>
      </c>
    </row>
    <row r="61" spans="8:25">
      <c r="H61" s="315"/>
      <c r="I61" s="316"/>
      <c r="J61" s="316"/>
      <c r="K61" s="316"/>
      <c r="L61" s="303"/>
      <c r="R61" t="s">
        <v>169</v>
      </c>
      <c r="S61">
        <f>FLUXO_CAIXA!B14</f>
        <v>16250</v>
      </c>
      <c r="T61">
        <f>FLUXO_CAIXA!D14</f>
        <v>14511.666666666668</v>
      </c>
      <c r="U61">
        <v>-1012.96</v>
      </c>
      <c r="V61">
        <v>26828.880000000001</v>
      </c>
      <c r="X61" t="s">
        <v>168</v>
      </c>
      <c r="Y61">
        <f>FLUXO_CAIXA!G13</f>
        <v>16794.666666666664</v>
      </c>
    </row>
    <row r="62" spans="8:25">
      <c r="H62" s="317"/>
      <c r="I62" s="318"/>
      <c r="J62" s="318"/>
      <c r="K62" s="318"/>
      <c r="L62" s="303"/>
      <c r="R62" t="s">
        <v>170</v>
      </c>
      <c r="S62">
        <f>FLUXO_CAIXA!B15</f>
        <v>16050</v>
      </c>
      <c r="T62">
        <f>FLUXO_CAIXA!D15</f>
        <v>15540</v>
      </c>
      <c r="U62">
        <v>-356.33000000000197</v>
      </c>
      <c r="V62">
        <v>26472.55</v>
      </c>
      <c r="X62" t="s">
        <v>169</v>
      </c>
      <c r="Y62">
        <f>FLUXO_CAIXA!G14</f>
        <v>18532.999999999996</v>
      </c>
    </row>
    <row r="63" spans="8:25">
      <c r="H63" s="303"/>
      <c r="I63" s="303"/>
      <c r="J63" s="303"/>
      <c r="K63" s="303"/>
      <c r="L63" s="303"/>
      <c r="R63" t="s">
        <v>171</v>
      </c>
      <c r="S63">
        <f>FLUXO_CAIXA!B16</f>
        <v>16000</v>
      </c>
      <c r="T63">
        <f>FLUXO_CAIXA!D16</f>
        <v>15770</v>
      </c>
      <c r="U63">
        <v>1668.2</v>
      </c>
      <c r="V63">
        <v>28140.75</v>
      </c>
      <c r="X63" t="s">
        <v>170</v>
      </c>
      <c r="Y63">
        <f>FLUXO_CAIXA!G15</f>
        <v>19042.999999999996</v>
      </c>
    </row>
    <row r="64" spans="8:25" ht="15" customHeight="1">
      <c r="H64" s="364"/>
      <c r="I64" s="364"/>
      <c r="J64" s="364"/>
      <c r="K64" s="364"/>
      <c r="L64" s="303"/>
      <c r="R64" t="s">
        <v>172</v>
      </c>
      <c r="S64">
        <f>FLUXO_CAIXA!B17</f>
        <v>16500</v>
      </c>
      <c r="T64">
        <f>FLUXO_CAIXA!D17</f>
        <v>14956.666666666666</v>
      </c>
      <c r="U64">
        <v>6617.39</v>
      </c>
      <c r="V64">
        <v>34758.14</v>
      </c>
      <c r="X64" t="s">
        <v>171</v>
      </c>
      <c r="Y64">
        <f>FLUXO_CAIXA!G16</f>
        <v>19272.999999999996</v>
      </c>
    </row>
    <row r="65" spans="1:25" ht="15" customHeight="1">
      <c r="H65" s="319"/>
      <c r="I65" s="319"/>
      <c r="J65" s="319"/>
      <c r="K65" s="319"/>
      <c r="L65" s="303"/>
      <c r="R65" t="s">
        <v>173</v>
      </c>
      <c r="S65">
        <f>FLUXO_CAIXA!B18</f>
        <v>16600</v>
      </c>
      <c r="T65">
        <f>FLUXO_CAIXA!D18</f>
        <v>16706.666666666668</v>
      </c>
      <c r="X65" t="s">
        <v>172</v>
      </c>
      <c r="Y65">
        <f>FLUXO_CAIXA!G17</f>
        <v>20816.333333333328</v>
      </c>
    </row>
    <row r="66" spans="1:25" ht="15" customHeight="1">
      <c r="H66" s="319"/>
      <c r="I66" s="319"/>
      <c r="J66" s="319"/>
      <c r="K66" s="319"/>
      <c r="L66" s="303"/>
      <c r="X66" t="s">
        <v>173</v>
      </c>
      <c r="Y66">
        <f>FLUXO_CAIXA!G18</f>
        <v>20709.666666666661</v>
      </c>
    </row>
    <row r="67" spans="1:25">
      <c r="H67" s="314"/>
      <c r="I67" s="314"/>
      <c r="J67" s="303"/>
      <c r="K67" s="303"/>
      <c r="L67" s="303"/>
      <c r="R67" t="s">
        <v>173</v>
      </c>
      <c r="S67">
        <v>41009.449999999997</v>
      </c>
      <c r="T67">
        <v>34168.559999999998</v>
      </c>
      <c r="U67">
        <v>6840.89</v>
      </c>
      <c r="V67">
        <v>41599.03</v>
      </c>
      <c r="X67" t="s">
        <v>173</v>
      </c>
      <c r="Y67">
        <v>41599.03</v>
      </c>
    </row>
    <row r="68" spans="1:25">
      <c r="H68" s="303"/>
      <c r="I68" s="316"/>
      <c r="J68" s="303"/>
      <c r="K68" s="303"/>
      <c r="L68" s="303"/>
      <c r="R68" t="s">
        <v>141</v>
      </c>
      <c r="S68">
        <v>594300.80000000005</v>
      </c>
      <c r="T68">
        <v>552701.77</v>
      </c>
      <c r="U68">
        <v>41599.03</v>
      </c>
      <c r="V68">
        <v>41599.03</v>
      </c>
    </row>
    <row r="69" spans="1:25">
      <c r="H69" s="303"/>
      <c r="I69" s="316"/>
      <c r="J69" s="303"/>
      <c r="K69" s="303"/>
      <c r="L69" s="303"/>
    </row>
    <row r="70" spans="1:25">
      <c r="H70" s="303"/>
      <c r="I70" s="316"/>
      <c r="J70" s="303"/>
      <c r="K70" s="303"/>
      <c r="L70" s="303"/>
    </row>
    <row r="71" spans="1:25">
      <c r="H71" s="303"/>
      <c r="I71" s="316"/>
      <c r="J71" s="303"/>
      <c r="K71" s="303"/>
      <c r="L71" s="303"/>
    </row>
    <row r="72" spans="1:25">
      <c r="H72" s="303"/>
      <c r="I72" s="303"/>
      <c r="J72" s="303"/>
      <c r="K72" s="303"/>
      <c r="L72" s="303"/>
    </row>
    <row r="74" spans="1:25" ht="15.6">
      <c r="A74" s="366" t="s">
        <v>174</v>
      </c>
      <c r="B74" s="366"/>
      <c r="C74" s="366"/>
      <c r="D74" s="366"/>
      <c r="E74" s="366"/>
      <c r="F74" s="366"/>
    </row>
    <row r="76" spans="1:25">
      <c r="A76" s="10" t="s">
        <v>175</v>
      </c>
      <c r="B76" s="15">
        <f>IF(A7=0,0,(A7-D7)/A7)</f>
        <v>5.520446735395184E-2</v>
      </c>
      <c r="C76" t="str">
        <f>IF(B76&lt;0.1,"🔴 Abaixo de 10% - Atenção!",IF(B76&lt;0.2,"🟡 Entre 10-20% - Razoável","🟢 Acima de 20% - Ótimo!"))</f>
        <v>🔴 Abaixo de 10% - Atenção!</v>
      </c>
    </row>
    <row r="77" spans="1:25">
      <c r="A77" s="10" t="s">
        <v>176</v>
      </c>
      <c r="B77" t="str">
        <f>INDEX(P24:P33,MATCH(MAX(Q24:Q33),Q24:Q33,0))</f>
        <v>Habitação</v>
      </c>
      <c r="C77" s="7">
        <f>MAX(Q24:Q33)</f>
        <v>59508.333333333336</v>
      </c>
    </row>
    <row r="78" spans="1:25">
      <c r="A78" s="10" t="s">
        <v>177</v>
      </c>
      <c r="B78" t="str">
        <f>INDEX(R54:R67,MATCH(MAX(U54:U67),U54:U67,0))</f>
        <v>Jan</v>
      </c>
      <c r="C78" s="7">
        <f>MAX(U54:U67)</f>
        <v>24925.62</v>
      </c>
    </row>
    <row r="79" spans="1:25">
      <c r="A79" s="10" t="s">
        <v>178</v>
      </c>
      <c r="B79" t="str">
        <f>INDEX(R54:R67,MATCH(MIN(U54:U67),U54:U67,0))</f>
        <v>Mai</v>
      </c>
      <c r="C79" s="7">
        <f>MIN(U54:U67)</f>
        <v>-14200.77</v>
      </c>
    </row>
    <row r="81" spans="1:14" ht="15" customHeight="1">
      <c r="A81" s="367" t="s">
        <v>184</v>
      </c>
      <c r="B81" s="368"/>
      <c r="C81" s="368"/>
      <c r="D81" s="368"/>
      <c r="E81" s="368"/>
      <c r="F81" s="368"/>
    </row>
    <row r="82" spans="1:14">
      <c r="A82" s="310" t="s">
        <v>382</v>
      </c>
    </row>
    <row r="85" spans="1:14" ht="25.05" customHeight="1">
      <c r="A85" s="362" t="s">
        <v>254</v>
      </c>
      <c r="B85" s="363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</row>
    <row r="87" spans="1:14">
      <c r="A87" s="320" t="s">
        <v>129</v>
      </c>
      <c r="B87" s="321" t="s">
        <v>179</v>
      </c>
      <c r="C87" s="321" t="s">
        <v>180</v>
      </c>
      <c r="D87" s="321" t="s">
        <v>161</v>
      </c>
      <c r="E87" s="322" t="s">
        <v>253</v>
      </c>
    </row>
    <row r="88" spans="1:14">
      <c r="A88" s="79" t="s">
        <v>162</v>
      </c>
      <c r="B88" s="308" cm="1">
        <f t="array" ref="B88">SUMPRODUCT((tb_investimentos[Movimento]="Aporte")*(YEAR(tb_investimentos[Data])=$B$4)*(MONTH(tb_investimentos[Data])=1)*tb_investimentos[Valor])</f>
        <v>500</v>
      </c>
      <c r="C88" s="308" cm="1">
        <f t="array" ref="C88">SUMPRODUCT((tb_investimentos[Movimento]="Resgate")*(YEAR(tb_investimentos[Data])=$B$4)*(MONTH(tb_investimentos[Data])=1)*tb_investimentos[Valor])</f>
        <v>0</v>
      </c>
      <c r="D88" s="308">
        <f t="shared" ref="D88:D99" si="6">B88-C88</f>
        <v>500</v>
      </c>
      <c r="E88" s="309">
        <f>D88</f>
        <v>500</v>
      </c>
    </row>
    <row r="89" spans="1:14">
      <c r="A89" s="79" t="s">
        <v>163</v>
      </c>
      <c r="B89" s="308" cm="1">
        <f t="array" ref="B89">SUMPRODUCT((tb_investimentos[Movimento]="Aporte")*(YEAR(tb_investimentos[Data])=$B$4)*(MONTH(tb_investimentos[Data])=2)*tb_investimentos[Valor])</f>
        <v>500</v>
      </c>
      <c r="C89" s="308" cm="1">
        <f t="array" ref="C89">SUMPRODUCT((tb_investimentos[Movimento]="Resgate")*(YEAR(tb_investimentos[Data])=$B$4)*(MONTH(tb_investimentos[Data])=2)*tb_investimentos[Valor])</f>
        <v>0</v>
      </c>
      <c r="D89" s="308">
        <f t="shared" si="6"/>
        <v>500</v>
      </c>
      <c r="E89" s="309">
        <f t="shared" ref="E89:E99" si="7">E88+D89</f>
        <v>1000</v>
      </c>
    </row>
    <row r="90" spans="1:14">
      <c r="A90" s="79" t="s">
        <v>164</v>
      </c>
      <c r="B90" s="308" cm="1">
        <f t="array" ref="B90">SUMPRODUCT((tb_investimentos[Movimento]="Aporte")*(YEAR(tb_investimentos[Data])=$B$4)*(MONTH(tb_investimentos[Data])=3)*tb_investimentos[Valor])</f>
        <v>500</v>
      </c>
      <c r="C90" s="308" cm="1">
        <f t="array" ref="C90">SUMPRODUCT((tb_investimentos[Movimento]="Resgate")*(YEAR(tb_investimentos[Data])=$B$4)*(MONTH(tb_investimentos[Data])=3)*tb_investimentos[Valor])</f>
        <v>0</v>
      </c>
      <c r="D90" s="308">
        <f t="shared" si="6"/>
        <v>500</v>
      </c>
      <c r="E90" s="309">
        <f t="shared" si="7"/>
        <v>1500</v>
      </c>
    </row>
    <row r="91" spans="1:14">
      <c r="A91" s="79" t="s">
        <v>165</v>
      </c>
      <c r="B91" s="308" cm="1">
        <f t="array" ref="B91">SUMPRODUCT((tb_investimentos[Movimento]="Aporte")*(YEAR(tb_investimentos[Data])=$B$4)*(MONTH(tb_investimentos[Data])=4)*tb_investimentos[Valor])</f>
        <v>500</v>
      </c>
      <c r="C91" s="308" cm="1">
        <f t="array" ref="C91">SUMPRODUCT((tb_investimentos[Movimento]="Resgate")*(YEAR(tb_investimentos[Data])=$B$4)*(MONTH(tb_investimentos[Data])=4)*tb_investimentos[Valor])</f>
        <v>0</v>
      </c>
      <c r="D91" s="308">
        <f t="shared" si="6"/>
        <v>500</v>
      </c>
      <c r="E91" s="309">
        <f t="shared" si="7"/>
        <v>2000</v>
      </c>
    </row>
    <row r="92" spans="1:14">
      <c r="A92" s="79" t="s">
        <v>166</v>
      </c>
      <c r="B92" s="308" cm="1">
        <f t="array" ref="B92">SUMPRODUCT((tb_investimentos[Movimento]="Aporte")*(YEAR(tb_investimentos[Data])=$B$4)*(MONTH(tb_investimentos[Data])=5)*tb_investimentos[Valor])</f>
        <v>500</v>
      </c>
      <c r="C92" s="308" cm="1">
        <f t="array" ref="C92">SUMPRODUCT((tb_investimentos[Movimento]="Resgate")*(YEAR(tb_investimentos[Data])=$B$4)*(MONTH(tb_investimentos[Data])=5)*tb_investimentos[Valor])</f>
        <v>0</v>
      </c>
      <c r="D92" s="308">
        <f t="shared" si="6"/>
        <v>500</v>
      </c>
      <c r="E92" s="309">
        <f t="shared" si="7"/>
        <v>2500</v>
      </c>
    </row>
    <row r="93" spans="1:14">
      <c r="A93" s="79" t="s">
        <v>167</v>
      </c>
      <c r="B93" s="308" cm="1">
        <f t="array" ref="B93">SUMPRODUCT((tb_investimentos[Movimento]="Aporte")*(YEAR(tb_investimentos[Data])=$B$4)*(MONTH(tb_investimentos[Data])=6)*tb_investimentos[Valor])</f>
        <v>500</v>
      </c>
      <c r="C93" s="308" cm="1">
        <f t="array" ref="C93">SUMPRODUCT((tb_investimentos[Movimento]="Resgate")*(YEAR(tb_investimentos[Data])=$B$4)*(MONTH(tb_investimentos[Data])=6)*tb_investimentos[Valor])</f>
        <v>0</v>
      </c>
      <c r="D93" s="308">
        <f t="shared" si="6"/>
        <v>500</v>
      </c>
      <c r="E93" s="309">
        <f t="shared" si="7"/>
        <v>3000</v>
      </c>
    </row>
    <row r="94" spans="1:14">
      <c r="A94" s="79" t="s">
        <v>168</v>
      </c>
      <c r="B94" s="308" cm="1">
        <f t="array" ref="B94">SUMPRODUCT((tb_investimentos[Movimento]="Aporte")*(YEAR(tb_investimentos[Data])=$B$4)*(MONTH(tb_investimentos[Data])=7)*tb_investimentos[Valor])</f>
        <v>500</v>
      </c>
      <c r="C94" s="308" cm="1">
        <f t="array" ref="C94">SUMPRODUCT((tb_investimentos[Movimento]="Resgate")*(YEAR(tb_investimentos[Data])=$B$4)*(MONTH(tb_investimentos[Data])=7)*tb_investimentos[Valor])</f>
        <v>0</v>
      </c>
      <c r="D94" s="308">
        <f t="shared" si="6"/>
        <v>500</v>
      </c>
      <c r="E94" s="309">
        <f t="shared" si="7"/>
        <v>3500</v>
      </c>
    </row>
    <row r="95" spans="1:14">
      <c r="A95" s="79" t="s">
        <v>169</v>
      </c>
      <c r="B95" s="308" cm="1">
        <f t="array" ref="B95">SUMPRODUCT((tb_investimentos[Movimento]="Aporte")*(YEAR(tb_investimentos[Data])=$B$4)*(MONTH(tb_investimentos[Data])=8)*tb_investimentos[Valor])</f>
        <v>500</v>
      </c>
      <c r="C95" s="308" cm="1">
        <f t="array" ref="C95">SUMPRODUCT((tb_investimentos[Movimento]="Resgate")*(YEAR(tb_investimentos[Data])=$B$4)*(MONTH(tb_investimentos[Data])=8)*tb_investimentos[Valor])</f>
        <v>0</v>
      </c>
      <c r="D95" s="308">
        <f t="shared" si="6"/>
        <v>500</v>
      </c>
      <c r="E95" s="309">
        <f t="shared" si="7"/>
        <v>4000</v>
      </c>
    </row>
    <row r="96" spans="1:14">
      <c r="A96" s="79" t="s">
        <v>170</v>
      </c>
      <c r="B96" s="308" cm="1">
        <f t="array" ref="B96">SUMPRODUCT((tb_investimentos[Movimento]="Aporte")*(YEAR(tb_investimentos[Data])=$B$4)*(MONTH(tb_investimentos[Data])=9)*tb_investimentos[Valor])</f>
        <v>500</v>
      </c>
      <c r="C96" s="308" cm="1">
        <f t="array" ref="C96">SUMPRODUCT((tb_investimentos[Movimento]="Resgate")*(YEAR(tb_investimentos[Data])=$B$4)*(MONTH(tb_investimentos[Data])=9)*tb_investimentos[Valor])</f>
        <v>0</v>
      </c>
      <c r="D96" s="308">
        <f t="shared" si="6"/>
        <v>500</v>
      </c>
      <c r="E96" s="309">
        <f t="shared" si="7"/>
        <v>4500</v>
      </c>
    </row>
    <row r="97" spans="1:5">
      <c r="A97" s="79" t="s">
        <v>171</v>
      </c>
      <c r="B97" s="308" cm="1">
        <f t="array" ref="B97">SUMPRODUCT((tb_investimentos[Movimento]="Aporte")*(YEAR(tb_investimentos[Data])=$B$4)*(MONTH(tb_investimentos[Data])=10)*tb_investimentos[Valor])</f>
        <v>500</v>
      </c>
      <c r="C97" s="308" cm="1">
        <f t="array" ref="C97">SUMPRODUCT((tb_investimentos[Movimento]="Resgate")*(YEAR(tb_investimentos[Data])=$B$4)*(MONTH(tb_investimentos[Data])=10)*tb_investimentos[Valor])</f>
        <v>0</v>
      </c>
      <c r="D97" s="308">
        <f t="shared" si="6"/>
        <v>500</v>
      </c>
      <c r="E97" s="309">
        <f t="shared" si="7"/>
        <v>5000</v>
      </c>
    </row>
    <row r="98" spans="1:5">
      <c r="A98" s="79" t="s">
        <v>172</v>
      </c>
      <c r="B98" s="308" cm="1">
        <f t="array" ref="B98">SUMPRODUCT((tb_investimentos[Movimento]="Aporte")*(YEAR(tb_investimentos[Data])=$B$4)*(MONTH(tb_investimentos[Data])=11)*tb_investimentos[Valor])</f>
        <v>500</v>
      </c>
      <c r="C98" s="308" cm="1">
        <f t="array" ref="C98">SUMPRODUCT((tb_investimentos[Movimento]="Resgate")*(YEAR(tb_investimentos[Data])=$B$4)*(MONTH(tb_investimentos[Data])=11)*tb_investimentos[Valor])</f>
        <v>0</v>
      </c>
      <c r="D98" s="308">
        <f t="shared" si="6"/>
        <v>500</v>
      </c>
      <c r="E98" s="309">
        <f t="shared" si="7"/>
        <v>5500</v>
      </c>
    </row>
    <row r="99" spans="1:5">
      <c r="A99" s="79" t="s">
        <v>173</v>
      </c>
      <c r="B99" s="308" cm="1">
        <f t="array" ref="B99">SUMPRODUCT((tb_investimentos[Movimento]="Aporte")*(YEAR(tb_investimentos[Data])=$B$4)*(MONTH(tb_investimentos[Data])=12)*tb_investimentos[Valor])</f>
        <v>700</v>
      </c>
      <c r="C99" s="308" cm="1">
        <f t="array" ref="C99">SUMPRODUCT((tb_investimentos[Movimento]="Resgate")*(YEAR(tb_investimentos[Data])=$B$4)*(MONTH(tb_investimentos[Data])=12)*tb_investimentos[Valor])</f>
        <v>0</v>
      </c>
      <c r="D99" s="308">
        <f t="shared" si="6"/>
        <v>700</v>
      </c>
      <c r="E99" s="309">
        <f t="shared" si="7"/>
        <v>6200</v>
      </c>
    </row>
    <row r="100" spans="1:5">
      <c r="A100" s="323" t="s">
        <v>141</v>
      </c>
      <c r="B100" s="324">
        <f>SUM(B88:B99)</f>
        <v>6200</v>
      </c>
      <c r="C100" s="324">
        <f>SUM(C88:C99)</f>
        <v>0</v>
      </c>
      <c r="D100" s="324">
        <f>SUM(D88:D99)</f>
        <v>6200</v>
      </c>
      <c r="E100" s="325">
        <f>E99</f>
        <v>6200</v>
      </c>
    </row>
  </sheetData>
  <mergeCells count="18">
    <mergeCell ref="A7:B7"/>
    <mergeCell ref="D7:E7"/>
    <mergeCell ref="G7:H7"/>
    <mergeCell ref="J7:K7"/>
    <mergeCell ref="M7:N7"/>
    <mergeCell ref="A1:N1"/>
    <mergeCell ref="A2:N2"/>
    <mergeCell ref="A6:B6"/>
    <mergeCell ref="D6:E6"/>
    <mergeCell ref="G6:H6"/>
    <mergeCell ref="J6:K6"/>
    <mergeCell ref="M6:N6"/>
    <mergeCell ref="H54:K54"/>
    <mergeCell ref="A85:N85"/>
    <mergeCell ref="H64:K64"/>
    <mergeCell ref="A22:F22"/>
    <mergeCell ref="A74:F74"/>
    <mergeCell ref="A81:F81"/>
  </mergeCells>
  <conditionalFormatting sqref="E24:E27">
    <cfRule type="dataBar" priority="5">
      <dataBar>
        <cfvo type="min"/>
        <cfvo type="max"/>
        <color rgb="FF27AE60"/>
      </dataBar>
      <extLst>
        <ext xmlns:x14="http://schemas.microsoft.com/office/spreadsheetml/2009/9/main" uri="{B025F937-C7B1-47D3-B67F-A62EFF666E3E}">
          <x14:id>{72CA4706-6FD9-4E85-BD68-776EF8400CCC}</x14:id>
        </ext>
      </extLst>
    </cfRule>
  </conditionalFormatting>
  <conditionalFormatting sqref="E30:E42">
    <cfRule type="dataBar" priority="6">
      <dataBar>
        <cfvo type="min"/>
        <cfvo type="max"/>
        <color rgb="FF27AE60"/>
      </dataBar>
      <extLst>
        <ext xmlns:x14="http://schemas.microsoft.com/office/spreadsheetml/2009/9/main" uri="{B025F937-C7B1-47D3-B67F-A62EFF666E3E}">
          <x14:id>{F3069DD5-B3D4-431E-AB53-1CB46377BEF4}</x14:id>
        </ext>
      </extLst>
    </cfRule>
  </conditionalFormatting>
  <conditionalFormatting sqref="G7:G20">
    <cfRule type="cellIs" dxfId="6" priority="1" operator="greaterThan">
      <formula>0</formula>
    </cfRule>
    <cfRule type="cellIs" dxfId="5" priority="2" operator="lessThan">
      <formula>0</formula>
    </cfRule>
  </conditionalFormatting>
  <dataValidations disablePrompts="1" count="2">
    <dataValidation type="list" allowBlank="1" showInputMessage="1" showErrorMessage="1" sqref="B4" xr:uid="{858A09FA-79FB-4523-A871-ADC914E63DB4}">
      <formula1>"2024,2025,2026,2027,2028,2029,2030"</formula1>
    </dataValidation>
    <dataValidation type="list" allowBlank="1" showInputMessage="1" showErrorMessage="1" sqref="E4" xr:uid="{D584CE5D-B138-4FD4-8497-0213F3F4EA80}">
      <formula1>"0,1,2,3,4,5,6,7,8,9,10,11,12"</formula1>
    </dataValidation>
  </dataValidations>
  <pageMargins left="0.511811024" right="0.511811024" top="0.78740157499999996" bottom="0.78740157499999996" header="0.31496062000000002" footer="0.31496062000000002"/>
  <pageSetup paperSize="9" scale="35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A4706-6FD9-4E85-BD68-776EF8400CCC}">
            <x14:dataBar minLength="0" maxLength="100" axisPosition="none">
              <x14:cfvo type="min"/>
              <x14:cfvo type="max"/>
              <x14:negativeFillColor rgb="FFE74C3C"/>
            </x14:dataBar>
          </x14:cfRule>
          <xm:sqref>E24:E27</xm:sqref>
        </x14:conditionalFormatting>
        <x14:conditionalFormatting xmlns:xm="http://schemas.microsoft.com/office/excel/2006/main">
          <x14:cfRule type="dataBar" id="{F3069DD5-B3D4-431E-AB53-1CB46377BEF4}">
            <x14:dataBar minLength="0" maxLength="100" axisPosition="none">
              <x14:cfvo type="min"/>
              <x14:cfvo type="max"/>
              <x14:negativeFillColor rgb="FFE74C3C"/>
            </x14:dataBar>
          </x14:cfRule>
          <xm:sqref>E30:E42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D189D-7AC2-4C40-94A5-76FC55645BD8}">
  <sheetPr>
    <tabColor rgb="FFFFC000"/>
  </sheetPr>
  <dimension ref="A1:M75"/>
  <sheetViews>
    <sheetView showGridLines="0" topLeftCell="A42" workbookViewId="0">
      <selection activeCell="A63" sqref="A63"/>
    </sheetView>
  </sheetViews>
  <sheetFormatPr defaultRowHeight="14.4"/>
  <cols>
    <col min="1" max="1" width="33.33203125" customWidth="1"/>
    <col min="2" max="2" width="22.21875" customWidth="1"/>
    <col min="3" max="4" width="18.5546875" customWidth="1"/>
    <col min="5" max="5" width="14.77734375" customWidth="1"/>
    <col min="6" max="6" width="16.6640625" customWidth="1"/>
    <col min="11" max="13" width="0" hidden="1" customWidth="1"/>
  </cols>
  <sheetData>
    <row r="1" spans="1:5" ht="18">
      <c r="A1" s="395" t="s">
        <v>190</v>
      </c>
      <c r="B1" s="346"/>
      <c r="C1" s="346"/>
      <c r="D1" s="346"/>
      <c r="E1" s="346"/>
    </row>
    <row r="3" spans="1:5">
      <c r="A3" s="47" t="s">
        <v>87</v>
      </c>
      <c r="B3" s="47" t="s">
        <v>191</v>
      </c>
      <c r="C3" s="47" t="s">
        <v>136</v>
      </c>
      <c r="D3" s="47" t="s">
        <v>137</v>
      </c>
    </row>
    <row r="4" spans="1:5">
      <c r="A4" t="s">
        <v>391</v>
      </c>
      <c r="B4" t="s">
        <v>393</v>
      </c>
      <c r="C4">
        <v>7</v>
      </c>
      <c r="D4">
        <v>15</v>
      </c>
    </row>
    <row r="5" spans="1:5">
      <c r="A5" t="s">
        <v>392</v>
      </c>
      <c r="B5" t="s">
        <v>394</v>
      </c>
      <c r="C5">
        <v>9</v>
      </c>
      <c r="D5">
        <v>19</v>
      </c>
    </row>
    <row r="6" spans="1:5">
      <c r="A6" t="s">
        <v>390</v>
      </c>
      <c r="B6" t="s">
        <v>395</v>
      </c>
      <c r="C6">
        <v>29</v>
      </c>
      <c r="D6">
        <v>5</v>
      </c>
    </row>
    <row r="8" spans="1:5" ht="15.6">
      <c r="A8" s="9" t="s">
        <v>192</v>
      </c>
    </row>
    <row r="10" spans="1:5">
      <c r="A10" t="s">
        <v>193</v>
      </c>
    </row>
    <row r="11" spans="1:5">
      <c r="A11" t="s">
        <v>194</v>
      </c>
    </row>
    <row r="13" spans="1:5">
      <c r="A13" t="s">
        <v>399</v>
      </c>
    </row>
    <row r="14" spans="1:5">
      <c r="A14" t="s">
        <v>195</v>
      </c>
    </row>
    <row r="15" spans="1:5">
      <c r="A15" t="s">
        <v>196</v>
      </c>
    </row>
    <row r="17" spans="1:13">
      <c r="A17" t="s">
        <v>197</v>
      </c>
    </row>
    <row r="18" spans="1:13">
      <c r="A18" t="s">
        <v>400</v>
      </c>
    </row>
    <row r="20" spans="1:13" ht="18">
      <c r="A20" s="396" t="s">
        <v>256</v>
      </c>
      <c r="B20" s="346"/>
      <c r="C20" s="346"/>
      <c r="D20" s="346"/>
      <c r="E20" s="346"/>
      <c r="F20" s="346"/>
    </row>
    <row r="21" spans="1:13">
      <c r="A21" s="397" t="s">
        <v>264</v>
      </c>
      <c r="B21" s="346"/>
      <c r="C21" s="346"/>
      <c r="D21" s="346"/>
      <c r="E21" s="346"/>
      <c r="F21" s="346"/>
    </row>
    <row r="22" spans="1:13">
      <c r="A22" s="10" t="s">
        <v>265</v>
      </c>
      <c r="B22" s="5">
        <f ca="1">TODAY()</f>
        <v>46160</v>
      </c>
    </row>
    <row r="24" spans="1:13" ht="15.6">
      <c r="A24" s="392" t="s">
        <v>396</v>
      </c>
      <c r="B24" s="346"/>
      <c r="C24" s="346"/>
      <c r="D24" s="346"/>
      <c r="E24" s="346"/>
      <c r="F24" s="346"/>
      <c r="K24" s="85" t="s">
        <v>505</v>
      </c>
      <c r="L24" s="85" t="s">
        <v>506</v>
      </c>
      <c r="M24" s="85" t="s">
        <v>507</v>
      </c>
    </row>
    <row r="25" spans="1:13">
      <c r="A25" s="14" t="s">
        <v>266</v>
      </c>
      <c r="K25" s="5" t="str">
        <f ca="1">IFERROR(_xlfn.LET(_xlpm.minData,_xlfn.MINIFS(tbParcelas6[Data_Vencimento],tbParcelas6[Cartão],"Crédito INTER - João",tbParcelas6[Data_Vencimento],"&gt;="&amp;$B$22),_xlpm.mesRef,EOMONTH(_xlpm.minData,-1)+1,DATE(YEAR(_xlpm.mesRef),MONTH(_xlpm.mesRef),VLOOKUP("Crédito INTER - João",tbConfigCartoes[],4,FALSE))),"-")</f>
        <v>-</v>
      </c>
      <c r="L25" s="5" t="str">
        <f ca="1">IFERROR(_xlfn.LET(_xlpm.minData,_xlfn.MINIFS(tbParcelas6[Data_Vencimento],tbParcelas6[Cartão],"Crédito INTER - Ana",tbParcelas6[Data_Vencimento],"&gt;="&amp;$B$22),_xlpm.mesRef,EOMONTH(_xlpm.minData,-1)+1,DATE(YEAR(_xlpm.mesRef),MONTH(_xlpm.mesRef),VLOOKUP("Crédito INTER - Ana",tbConfigCartoes[],4,FALSE))),"-")</f>
        <v>-</v>
      </c>
      <c r="M25" s="5" t="str">
        <f ca="1">IFERROR(_xlfn.LET(_xlpm.minData,_xlfn.MINIFS(tbParcelas6[Data_Vencimento],tbParcelas6[Cartão],"Crédito Credicom Ana",tbParcelas6[Data_Vencimento],"&gt;="&amp;$B$22),_xlpm.mesRef,EOMONTH(_xlpm.minData,-1)+1,DATE(YEAR(_xlpm.mesRef),MONTH(_xlpm.mesRef),VLOOKUP("Crédito Credicom Ana",tbConfigCartoes[],4,FALSE))),"-")</f>
        <v>-</v>
      </c>
    </row>
    <row r="26" spans="1:13">
      <c r="A26" s="73" t="s">
        <v>258</v>
      </c>
      <c r="B26" s="73" t="s">
        <v>267</v>
      </c>
      <c r="C26" s="73" t="s">
        <v>268</v>
      </c>
      <c r="D26" s="73" t="s">
        <v>259</v>
      </c>
      <c r="E26" s="73" t="s">
        <v>157</v>
      </c>
      <c r="F26" s="73" t="s">
        <v>260</v>
      </c>
      <c r="K26" s="5" t="str">
        <f ca="1">IFERROR(_xlfn.LET(_xlpm.minData,_xlfn.MINIFS(tbParcelas6[Data_Vencimento],tbParcelas6[Cartão],"Crédito INTER - João",tbParcelas6[Data_Vencimento],"&gt;"&amp;EOMONTH(K25,0)),_xlpm.mesRef,EOMONTH(_xlpm.minData,-1)+1,DATE(YEAR(_xlpm.mesRef),MONTH(_xlpm.mesRef),VLOOKUP("Crédito INTER - João",tbConfigCartoes[],4,FALSE))),"-")</f>
        <v>-</v>
      </c>
      <c r="L26" s="5" t="str">
        <f ca="1">IFERROR(_xlfn.LET(_xlpm.minData,_xlfn.MINIFS(tbParcelas6[Data_Vencimento],tbParcelas6[Cartão],"Crédito INTER - Ana",tbParcelas6[Data_Vencimento],"&gt;"&amp;EOMONTH(L25,0)),_xlpm.mesRef,EOMONTH(_xlpm.minData,-1)+1,DATE(YEAR(_xlpm.mesRef),MONTH(_xlpm.mesRef),VLOOKUP("Crédito INTER - Ana",tbConfigCartoes[],4,FALSE))),"-")</f>
        <v>-</v>
      </c>
      <c r="M26" s="5" t="str">
        <f ca="1">IFERROR(_xlfn.LET(_xlpm.minData,_xlfn.MINIFS(tbParcelas6[Data_Vencimento],tbParcelas6[Cartão],"Crédito Credicom Ana",tbParcelas6[Data_Vencimento],"&gt;"&amp;EOMONTH(M25,0)),_xlpm.mesRef,EOMONTH(_xlpm.minData,-1)+1,DATE(YEAR(_xlpm.mesRef),MONTH(_xlpm.mesRef),VLOOKUP("Crédito Credicom Ana",tbConfigCartoes[],4,FALSE))),"-")</f>
        <v>-</v>
      </c>
    </row>
    <row r="27" spans="1:13">
      <c r="A27" s="326" t="str">
        <f t="shared" ref="A27:A36" ca="1" si="0">IF(K25="-","-",K25)</f>
        <v>-</v>
      </c>
      <c r="B27" s="279" t="str">
        <f t="shared" ref="B27:B36" ca="1" si="1">IF(A27="-","-",TEXT(A27,"mmm")&amp;"/"&amp;YEAR(A27))</f>
        <v>-</v>
      </c>
      <c r="C27" s="279" t="str">
        <f ca="1">IF(A27="-","-",COUNTIFS(tbParcelas6[Cartão],"Crédito INTER - João",tbParcelas6[Data_Vencimento],"&gt;="&amp;DATE(YEAR(A27),MONTH(A27),1),tbParcelas6[Data_Vencimento],"&lt;="&amp;EOMONTH(A27,0)))</f>
        <v>-</v>
      </c>
      <c r="D27" s="327" t="str">
        <f ca="1">IF(A27="-","-",SUMIFS(tbParcelas6[Valor_Parcela],tbParcelas6[Cartão],"Crédito INTER - João",tbParcelas6[Data_Vencimento],"&gt;="&amp;DATE(YEAR(A27),MONTH(A27),1),tbParcelas6[Data_Vencimento],"&lt;="&amp;EOMONTH(A27,0)))</f>
        <v>-</v>
      </c>
      <c r="E27" s="279" t="str">
        <f t="shared" ref="E27:E36" ca="1" si="2">IF(A27="-","-",IF(A27&lt;$B$22,"⚠️ Vencida",IF(A27-$B$22&lt;=7,"🔴 Urgente",IF(A27-$B$22&lt;=15,"🟡 Próxima","🟢 OK"))))</f>
        <v>-</v>
      </c>
      <c r="F27" s="279" t="str">
        <f t="shared" ref="F27:F36" ca="1" si="3">IF(A27="-","-",A27-$B$22)</f>
        <v>-</v>
      </c>
      <c r="K27" s="5" t="str">
        <f ca="1">IFERROR(_xlfn.LET(_xlpm.minData,_xlfn.MINIFS(tbParcelas6[Data_Vencimento],tbParcelas6[Cartão],"Crédito INTER - João",tbParcelas6[Data_Vencimento],"&gt;"&amp;EOMONTH(K26,0)),_xlpm.mesRef,EOMONTH(_xlpm.minData,-1)+1,DATE(YEAR(_xlpm.mesRef),MONTH(_xlpm.mesRef),VLOOKUP("Crédito INTER - João",tbConfigCartoes[],4,FALSE))),"-")</f>
        <v>-</v>
      </c>
      <c r="L27" s="5" t="str">
        <f ca="1">IFERROR(_xlfn.LET(_xlpm.minData,_xlfn.MINIFS(tbParcelas6[Data_Vencimento],tbParcelas6[Cartão],"Crédito INTER - Ana",tbParcelas6[Data_Vencimento],"&gt;"&amp;EOMONTH(L26,0)),_xlpm.mesRef,EOMONTH(_xlpm.minData,-1)+1,DATE(YEAR(_xlpm.mesRef),MONTH(_xlpm.mesRef),VLOOKUP("Crédito INTER - Ana",tbConfigCartoes[],4,FALSE))),"-")</f>
        <v>-</v>
      </c>
      <c r="M27" s="5" t="str">
        <f ca="1">IFERROR(_xlfn.LET(_xlpm.minData,_xlfn.MINIFS(tbParcelas6[Data_Vencimento],tbParcelas6[Cartão],"Crédito Credicom Ana",tbParcelas6[Data_Vencimento],"&gt;"&amp;EOMONTH(M26,0)),_xlpm.mesRef,EOMONTH(_xlpm.minData,-1)+1,DATE(YEAR(_xlpm.mesRef),MONTH(_xlpm.mesRef),VLOOKUP("Crédito Credicom Ana",tbConfigCartoes[],4,FALSE))),"-")</f>
        <v>-</v>
      </c>
    </row>
    <row r="28" spans="1:13">
      <c r="A28" s="71" t="str">
        <f t="shared" ca="1" si="0"/>
        <v>-</v>
      </c>
      <c r="B28" t="str">
        <f t="shared" ca="1" si="1"/>
        <v>-</v>
      </c>
      <c r="C28" t="str">
        <f ca="1">IF(A28="-","-",COUNTIFS(tbParcelas6[Cartão],"Crédito INTER - João",tbParcelas6[Data_Vencimento],"&gt;="&amp;DATE(YEAR(A28),MONTH(A28),1),tbParcelas6[Data_Vencimento],"&lt;="&amp;EOMONTH(A28,0)))</f>
        <v>-</v>
      </c>
      <c r="D28" s="180" t="str">
        <f ca="1">IF(A28="-","-",SUMIFS(tbParcelas6[Valor_Parcela],tbParcelas6[Cartão],"Crédito INTER - João",tbParcelas6[Data_Vencimento],"&gt;="&amp;DATE(YEAR(A28),MONTH(A28),1),tbParcelas6[Data_Vencimento],"&lt;="&amp;EOMONTH(A28,0)))</f>
        <v>-</v>
      </c>
      <c r="E28" t="str">
        <f t="shared" ca="1" si="2"/>
        <v>-</v>
      </c>
      <c r="F28" t="str">
        <f t="shared" ca="1" si="3"/>
        <v>-</v>
      </c>
      <c r="K28" s="5" t="str">
        <f ca="1">IFERROR(_xlfn.LET(_xlpm.minData,_xlfn.MINIFS(tbParcelas6[Data_Vencimento],tbParcelas6[Cartão],"Crédito INTER - João",tbParcelas6[Data_Vencimento],"&gt;"&amp;EOMONTH(K27,0)),_xlpm.mesRef,EOMONTH(_xlpm.minData,-1)+1,DATE(YEAR(_xlpm.mesRef),MONTH(_xlpm.mesRef),VLOOKUP("Crédito INTER - João",tbConfigCartoes[],4,FALSE))),"-")</f>
        <v>-</v>
      </c>
      <c r="L28" s="5" t="str">
        <f ca="1">IFERROR(_xlfn.LET(_xlpm.minData,_xlfn.MINIFS(tbParcelas6[Data_Vencimento],tbParcelas6[Cartão],"Crédito INTER - Ana",tbParcelas6[Data_Vencimento],"&gt;"&amp;EOMONTH(L27,0)),_xlpm.mesRef,EOMONTH(_xlpm.minData,-1)+1,DATE(YEAR(_xlpm.mesRef),MONTH(_xlpm.mesRef),VLOOKUP("Crédito INTER - Ana",tbConfigCartoes[],4,FALSE))),"-")</f>
        <v>-</v>
      </c>
      <c r="M28" s="5" t="str">
        <f ca="1">IFERROR(_xlfn.LET(_xlpm.minData,_xlfn.MINIFS(tbParcelas6[Data_Vencimento],tbParcelas6[Cartão],"Crédito Credicom Ana",tbParcelas6[Data_Vencimento],"&gt;"&amp;EOMONTH(M27,0)),_xlpm.mesRef,EOMONTH(_xlpm.minData,-1)+1,DATE(YEAR(_xlpm.mesRef),MONTH(_xlpm.mesRef),VLOOKUP("Crédito Credicom Ana",tbConfigCartoes[],4,FALSE))),"-")</f>
        <v>-</v>
      </c>
    </row>
    <row r="29" spans="1:13">
      <c r="A29" s="71" t="str">
        <f t="shared" ca="1" si="0"/>
        <v>-</v>
      </c>
      <c r="B29" t="str">
        <f t="shared" ca="1" si="1"/>
        <v>-</v>
      </c>
      <c r="C29" t="str">
        <f ca="1">IF(A29="-","-",COUNTIFS(tbParcelas6[Cartão],"Crédito INTER - João",tbParcelas6[Data_Vencimento],"&gt;="&amp;DATE(YEAR(A29),MONTH(A29),1),tbParcelas6[Data_Vencimento],"&lt;="&amp;EOMONTH(A29,0)))</f>
        <v>-</v>
      </c>
      <c r="D29" s="180" t="str">
        <f ca="1">IF(A29="-","-",SUMIFS(tbParcelas6[Valor_Parcela],tbParcelas6[Cartão],"Crédito INTER - João",tbParcelas6[Data_Vencimento],"&gt;="&amp;DATE(YEAR(A29),MONTH(A29),1),tbParcelas6[Data_Vencimento],"&lt;="&amp;EOMONTH(A29,0)))</f>
        <v>-</v>
      </c>
      <c r="E29" t="str">
        <f t="shared" ca="1" si="2"/>
        <v>-</v>
      </c>
      <c r="F29" t="str">
        <f t="shared" ca="1" si="3"/>
        <v>-</v>
      </c>
      <c r="K29" s="5" t="str">
        <f ca="1">IFERROR(_xlfn.LET(_xlpm.minData,_xlfn.MINIFS(tbParcelas6[Data_Vencimento],tbParcelas6[Cartão],"Crédito INTER - João",tbParcelas6[Data_Vencimento],"&gt;"&amp;EOMONTH(K28,0)),_xlpm.mesRef,EOMONTH(_xlpm.minData,-1)+1,DATE(YEAR(_xlpm.mesRef),MONTH(_xlpm.mesRef),VLOOKUP("Crédito INTER - João",tbConfigCartoes[],4,FALSE))),"-")</f>
        <v>-</v>
      </c>
      <c r="L29" s="5" t="str">
        <f ca="1">IFERROR(_xlfn.LET(_xlpm.minData,_xlfn.MINIFS(tbParcelas6[Data_Vencimento],tbParcelas6[Cartão],"Crédito INTER - Ana",tbParcelas6[Data_Vencimento],"&gt;"&amp;EOMONTH(L28,0)),_xlpm.mesRef,EOMONTH(_xlpm.minData,-1)+1,DATE(YEAR(_xlpm.mesRef),MONTH(_xlpm.mesRef),VLOOKUP("Crédito INTER - Ana",tbConfigCartoes[],4,FALSE))),"-")</f>
        <v>-</v>
      </c>
      <c r="M29" s="5" t="str">
        <f ca="1">IFERROR(_xlfn.LET(_xlpm.minData,_xlfn.MINIFS(tbParcelas6[Data_Vencimento],tbParcelas6[Cartão],"Crédito Credicom Ana",tbParcelas6[Data_Vencimento],"&gt;"&amp;EOMONTH(M28,0)),_xlpm.mesRef,EOMONTH(_xlpm.minData,-1)+1,DATE(YEAR(_xlpm.mesRef),MONTH(_xlpm.mesRef),VLOOKUP("Crédito Credicom Ana",tbConfigCartoes[],4,FALSE))),"-")</f>
        <v>-</v>
      </c>
    </row>
    <row r="30" spans="1:13">
      <c r="A30" s="71" t="str">
        <f t="shared" ca="1" si="0"/>
        <v>-</v>
      </c>
      <c r="B30" t="str">
        <f t="shared" ca="1" si="1"/>
        <v>-</v>
      </c>
      <c r="C30" t="str">
        <f ca="1">IF(A30="-","-",COUNTIFS(tbParcelas6[Cartão],"Crédito INTER - João",tbParcelas6[Data_Vencimento],"&gt;="&amp;DATE(YEAR(A30),MONTH(A30),1),tbParcelas6[Data_Vencimento],"&lt;="&amp;EOMONTH(A30,0)))</f>
        <v>-</v>
      </c>
      <c r="D30" s="180" t="str">
        <f ca="1">IF(A30="-","-",SUMIFS(tbParcelas6[Valor_Parcela],tbParcelas6[Cartão],"Crédito INTER - João",tbParcelas6[Data_Vencimento],"&gt;="&amp;DATE(YEAR(A30),MONTH(A30),1),tbParcelas6[Data_Vencimento],"&lt;="&amp;EOMONTH(A30,0)))</f>
        <v>-</v>
      </c>
      <c r="E30" t="str">
        <f t="shared" ca="1" si="2"/>
        <v>-</v>
      </c>
      <c r="F30" t="str">
        <f t="shared" ca="1" si="3"/>
        <v>-</v>
      </c>
      <c r="K30" s="5" t="str">
        <f ca="1">IFERROR(_xlfn.LET(_xlpm.minData,_xlfn.MINIFS(tbParcelas6[Data_Vencimento],tbParcelas6[Cartão],"Crédito INTER - João",tbParcelas6[Data_Vencimento],"&gt;"&amp;EOMONTH(K29,0)),_xlpm.mesRef,EOMONTH(_xlpm.minData,-1)+1,DATE(YEAR(_xlpm.mesRef),MONTH(_xlpm.mesRef),VLOOKUP("Crédito INTER - João",tbConfigCartoes[],4,FALSE))),"-")</f>
        <v>-</v>
      </c>
      <c r="L30" s="5" t="str">
        <f ca="1">IFERROR(_xlfn.LET(_xlpm.minData,_xlfn.MINIFS(tbParcelas6[Data_Vencimento],tbParcelas6[Cartão],"Crédito INTER - Ana",tbParcelas6[Data_Vencimento],"&gt;"&amp;EOMONTH(L29,0)),_xlpm.mesRef,EOMONTH(_xlpm.minData,-1)+1,DATE(YEAR(_xlpm.mesRef),MONTH(_xlpm.mesRef),VLOOKUP("Crédito INTER - Ana",tbConfigCartoes[],4,FALSE))),"-")</f>
        <v>-</v>
      </c>
      <c r="M30" s="5" t="str">
        <f ca="1">IFERROR(_xlfn.LET(_xlpm.minData,_xlfn.MINIFS(tbParcelas6[Data_Vencimento],tbParcelas6[Cartão],"Crédito Credicom Ana",tbParcelas6[Data_Vencimento],"&gt;"&amp;EOMONTH(M29,0)),_xlpm.mesRef,EOMONTH(_xlpm.minData,-1)+1,DATE(YEAR(_xlpm.mesRef),MONTH(_xlpm.mesRef),VLOOKUP("Crédito Credicom Ana",tbConfigCartoes[],4,FALSE))),"-")</f>
        <v>-</v>
      </c>
    </row>
    <row r="31" spans="1:13">
      <c r="A31" s="71" t="str">
        <f t="shared" ca="1" si="0"/>
        <v>-</v>
      </c>
      <c r="B31" t="str">
        <f t="shared" ca="1" si="1"/>
        <v>-</v>
      </c>
      <c r="C31" t="str">
        <f ca="1">IF(A31="-","-",COUNTIFS(tbParcelas6[Cartão],"Crédito INTER - João",tbParcelas6[Data_Vencimento],"&gt;="&amp;DATE(YEAR(A31),MONTH(A31),1),tbParcelas6[Data_Vencimento],"&lt;="&amp;EOMONTH(A31,0)))</f>
        <v>-</v>
      </c>
      <c r="D31" s="180" t="str">
        <f ca="1">IF(A31="-","-",SUMIFS(tbParcelas6[Valor_Parcela],tbParcelas6[Cartão],"Crédito INTER - João",tbParcelas6[Data_Vencimento],"&gt;="&amp;DATE(YEAR(A31),MONTH(A31),1),tbParcelas6[Data_Vencimento],"&lt;="&amp;EOMONTH(A31,0)))</f>
        <v>-</v>
      </c>
      <c r="E31" t="str">
        <f t="shared" ca="1" si="2"/>
        <v>-</v>
      </c>
      <c r="F31" t="str">
        <f t="shared" ca="1" si="3"/>
        <v>-</v>
      </c>
      <c r="K31" s="5" t="str">
        <f ca="1">IFERROR(_xlfn.LET(_xlpm.minData,_xlfn.MINIFS(tbParcelas6[Data_Vencimento],tbParcelas6[Cartão],"Crédito INTER - João",tbParcelas6[Data_Vencimento],"&gt;"&amp;EOMONTH(K30,0)),_xlpm.mesRef,EOMONTH(_xlpm.minData,-1)+1,DATE(YEAR(_xlpm.mesRef),MONTH(_xlpm.mesRef),VLOOKUP("Crédito INTER - João",tbConfigCartoes[],4,FALSE))),"-")</f>
        <v>-</v>
      </c>
      <c r="L31" s="5" t="str">
        <f ca="1">IFERROR(_xlfn.LET(_xlpm.minData,_xlfn.MINIFS(tbParcelas6[Data_Vencimento],tbParcelas6[Cartão],"Crédito INTER - Ana",tbParcelas6[Data_Vencimento],"&gt;"&amp;EOMONTH(L30,0)),_xlpm.mesRef,EOMONTH(_xlpm.minData,-1)+1,DATE(YEAR(_xlpm.mesRef),MONTH(_xlpm.mesRef),VLOOKUP("Crédito INTER - Ana",tbConfigCartoes[],4,FALSE))),"-")</f>
        <v>-</v>
      </c>
      <c r="M31" s="5" t="str">
        <f ca="1">IFERROR(_xlfn.LET(_xlpm.minData,_xlfn.MINIFS(tbParcelas6[Data_Vencimento],tbParcelas6[Cartão],"Crédito Credicom Ana",tbParcelas6[Data_Vencimento],"&gt;"&amp;EOMONTH(M30,0)),_xlpm.mesRef,EOMONTH(_xlpm.minData,-1)+1,DATE(YEAR(_xlpm.mesRef),MONTH(_xlpm.mesRef),VLOOKUP("Crédito Credicom Ana",tbConfigCartoes[],4,FALSE))),"-")</f>
        <v>-</v>
      </c>
    </row>
    <row r="32" spans="1:13">
      <c r="A32" s="71" t="str">
        <f t="shared" ca="1" si="0"/>
        <v>-</v>
      </c>
      <c r="B32" t="str">
        <f t="shared" ca="1" si="1"/>
        <v>-</v>
      </c>
      <c r="C32" t="str">
        <f ca="1">IF(A32="-","-",COUNTIFS(tbParcelas6[Cartão],"Crédito INTER - João",tbParcelas6[Data_Vencimento],"&gt;="&amp;DATE(YEAR(A32),MONTH(A32),1),tbParcelas6[Data_Vencimento],"&lt;="&amp;EOMONTH(A32,0)))</f>
        <v>-</v>
      </c>
      <c r="D32" s="180" t="str">
        <f ca="1">IF(A32="-","-",SUMIFS(tbParcelas6[Valor_Parcela],tbParcelas6[Cartão],"Crédito INTER - João",tbParcelas6[Data_Vencimento],"&gt;="&amp;DATE(YEAR(A32),MONTH(A32),1),tbParcelas6[Data_Vencimento],"&lt;="&amp;EOMONTH(A32,0)))</f>
        <v>-</v>
      </c>
      <c r="E32" t="str">
        <f t="shared" ca="1" si="2"/>
        <v>-</v>
      </c>
      <c r="F32" t="str">
        <f t="shared" ca="1" si="3"/>
        <v>-</v>
      </c>
      <c r="K32" s="5" t="str">
        <f ca="1">IFERROR(_xlfn.LET(_xlpm.minData,_xlfn.MINIFS(tbParcelas6[Data_Vencimento],tbParcelas6[Cartão],"Crédito INTER - João",tbParcelas6[Data_Vencimento],"&gt;"&amp;EOMONTH(K31,0)),_xlpm.mesRef,EOMONTH(_xlpm.minData,-1)+1,DATE(YEAR(_xlpm.mesRef),MONTH(_xlpm.mesRef),VLOOKUP("Crédito INTER - João",tbConfigCartoes[],4,FALSE))),"-")</f>
        <v>-</v>
      </c>
      <c r="L32" s="5" t="str">
        <f ca="1">IFERROR(_xlfn.LET(_xlpm.minData,_xlfn.MINIFS(tbParcelas6[Data_Vencimento],tbParcelas6[Cartão],"Crédito INTER - Ana",tbParcelas6[Data_Vencimento],"&gt;"&amp;EOMONTH(L31,0)),_xlpm.mesRef,EOMONTH(_xlpm.minData,-1)+1,DATE(YEAR(_xlpm.mesRef),MONTH(_xlpm.mesRef),VLOOKUP("Crédito INTER - Ana",tbConfigCartoes[],4,FALSE))),"-")</f>
        <v>-</v>
      </c>
      <c r="M32" s="5" t="str">
        <f ca="1">IFERROR(_xlfn.LET(_xlpm.minData,_xlfn.MINIFS(tbParcelas6[Data_Vencimento],tbParcelas6[Cartão],"Crédito Credicom Ana",tbParcelas6[Data_Vencimento],"&gt;"&amp;EOMONTH(M31,0)),_xlpm.mesRef,EOMONTH(_xlpm.minData,-1)+1,DATE(YEAR(_xlpm.mesRef),MONTH(_xlpm.mesRef),VLOOKUP("Crédito Credicom Ana",tbConfigCartoes[],4,FALSE))),"-")</f>
        <v>-</v>
      </c>
    </row>
    <row r="33" spans="1:13">
      <c r="A33" s="71" t="str">
        <f t="shared" ca="1" si="0"/>
        <v>-</v>
      </c>
      <c r="B33" t="str">
        <f t="shared" ca="1" si="1"/>
        <v>-</v>
      </c>
      <c r="C33" t="str">
        <f ca="1">IF(A33="-","-",COUNTIFS(tbParcelas6[Cartão],"Crédito INTER - João",tbParcelas6[Data_Vencimento],"&gt;="&amp;DATE(YEAR(A33),MONTH(A33),1),tbParcelas6[Data_Vencimento],"&lt;="&amp;EOMONTH(A33,0)))</f>
        <v>-</v>
      </c>
      <c r="D33" s="180" t="str">
        <f ca="1">IF(A33="-","-",SUMIFS(tbParcelas6[Valor_Parcela],tbParcelas6[Cartão],"Crédito INTER - João",tbParcelas6[Data_Vencimento],"&gt;="&amp;DATE(YEAR(A33),MONTH(A33),1),tbParcelas6[Data_Vencimento],"&lt;="&amp;EOMONTH(A33,0)))</f>
        <v>-</v>
      </c>
      <c r="E33" t="str">
        <f t="shared" ca="1" si="2"/>
        <v>-</v>
      </c>
      <c r="F33" t="str">
        <f t="shared" ca="1" si="3"/>
        <v>-</v>
      </c>
      <c r="K33" s="5" t="str">
        <f ca="1">IFERROR(EOMONTH(_xlfn.MINIFS(#REF!,#REF!,"Crédito INTER - João",#REF!,"&gt;"&amp;EOMONTH(K32,0)),-1)+1,"-")</f>
        <v>-</v>
      </c>
      <c r="L33" s="5" t="str">
        <f ca="1">IFERROR(EOMONTH(_xlfn.MINIFS(#REF!,#REF!,"Crédito INTER - Ana",#REF!,"&gt;"&amp;EOMONTH(L32,0)),-1)+1,"-")</f>
        <v>-</v>
      </c>
      <c r="M33" t="str">
        <f ca="1">IFERROR(EOMONTH(_xlfn.MINIFS(#REF!,#REF!,"Crédito Credicom Ana",#REF!,"&gt;"&amp;EOMONTH(M32,0)),-1)+1,"-")</f>
        <v>-</v>
      </c>
    </row>
    <row r="34" spans="1:13">
      <c r="A34" s="71" t="str">
        <f t="shared" ca="1" si="0"/>
        <v>-</v>
      </c>
      <c r="B34" t="str">
        <f t="shared" ca="1" si="1"/>
        <v>-</v>
      </c>
      <c r="C34" t="str">
        <f ca="1">IF(A34="-","-",COUNTIFS(tbParcelas6[Cartão],"Crédito INTER - João",tbParcelas6[Data_Vencimento],"&gt;="&amp;DATE(YEAR(A34),MONTH(A34),1),tbParcelas6[Data_Vencimento],"&lt;="&amp;EOMONTH(A34,0)))</f>
        <v>-</v>
      </c>
      <c r="D34" s="180" t="str">
        <f ca="1">IF(A34="-","-",SUMIFS(tbParcelas6[Valor_Parcela],tbParcelas6[Cartão],"Crédito INTER - João",tbParcelas6[Data_Vencimento],"&gt;="&amp;DATE(YEAR(A34),MONTH(A34),1),tbParcelas6[Data_Vencimento],"&lt;="&amp;EOMONTH(A34,0)))</f>
        <v>-</v>
      </c>
      <c r="E34" t="str">
        <f t="shared" ca="1" si="2"/>
        <v>-</v>
      </c>
      <c r="F34" t="str">
        <f t="shared" ca="1" si="3"/>
        <v>-</v>
      </c>
      <c r="K34" s="5" t="str">
        <f ca="1">IFERROR(EOMONTH(_xlfn.MINIFS(#REF!,#REF!,"Crédito INTER - João",#REF!,"&gt;"&amp;EOMONTH(K33,0)),-1)+1,"-")</f>
        <v>-</v>
      </c>
      <c r="L34" s="5" t="str">
        <f ca="1">IFERROR(EOMONTH(_xlfn.MINIFS(#REF!,#REF!,"Crédito INTER - Ana",#REF!,"&gt;"&amp;EOMONTH(L33,0)),-1)+1,"-")</f>
        <v>-</v>
      </c>
      <c r="M34" t="str">
        <f ca="1">IFERROR(EOMONTH(_xlfn.MINIFS(#REF!,#REF!,"Crédito Credicom Ana",#REF!,"&gt;"&amp;EOMONTH(M33,0)),-1)+1,"-")</f>
        <v>-</v>
      </c>
    </row>
    <row r="35" spans="1:13">
      <c r="A35" s="71" t="str">
        <f t="shared" ca="1" si="0"/>
        <v>-</v>
      </c>
      <c r="B35" t="str">
        <f t="shared" ca="1" si="1"/>
        <v>-</v>
      </c>
      <c r="C35" t="str">
        <f ca="1">IF(A35="-","-",COUNTIFS(tbParcelas6[Cartão],"Crédito INTER - João",tbParcelas6[Data_Vencimento],"&gt;="&amp;DATE(YEAR(A35),MONTH(A35),1),tbParcelas6[Data_Vencimento],"&lt;="&amp;EOMONTH(A35,0)))</f>
        <v>-</v>
      </c>
      <c r="D35" s="180" t="str">
        <f ca="1">IF(A35="-","-",SUMIFS(tbParcelas6[Valor_Parcela],tbParcelas6[Cartão],"Crédito INTER - João",tbParcelas6[Data_Vencimento],"&gt;="&amp;DATE(YEAR(A35),MONTH(A35),1),tbParcelas6[Data_Vencimento],"&lt;="&amp;EOMONTH(A35,0)))</f>
        <v>-</v>
      </c>
      <c r="E35" t="str">
        <f t="shared" ca="1" si="2"/>
        <v>-</v>
      </c>
      <c r="F35" t="str">
        <f t="shared" ca="1" si="3"/>
        <v>-</v>
      </c>
      <c r="K35" s="5"/>
      <c r="L35" s="5"/>
    </row>
    <row r="36" spans="1:13">
      <c r="A36" s="71" t="str">
        <f t="shared" ca="1" si="0"/>
        <v>-</v>
      </c>
      <c r="B36" t="str">
        <f t="shared" ca="1" si="1"/>
        <v>-</v>
      </c>
      <c r="C36" t="str">
        <f ca="1">IF(A36="-","-",COUNTIFS(tbParcelas6[Cartão],"Crédito INTER - João",tbParcelas6[Data_Vencimento],A36))</f>
        <v>-</v>
      </c>
      <c r="D36" s="180" t="str">
        <f ca="1">IF(A36="-","-",SUMIFS(tbParcelas6[Valor_Parcela],tbParcelas6[Cartão],"Crédito INTER - João",tbParcelas6[Data_Vencimento],A36))</f>
        <v>-</v>
      </c>
      <c r="E36" t="str">
        <f t="shared" ca="1" si="2"/>
        <v>-</v>
      </c>
      <c r="F36" t="str">
        <f t="shared" ca="1" si="3"/>
        <v>-</v>
      </c>
      <c r="K36" s="5"/>
    </row>
    <row r="37" spans="1:13">
      <c r="K37" s="5"/>
    </row>
    <row r="38" spans="1:13">
      <c r="K38" s="5"/>
    </row>
    <row r="39" spans="1:13" ht="15.6">
      <c r="A39" s="393" t="s">
        <v>397</v>
      </c>
      <c r="B39" s="393"/>
      <c r="C39" s="393"/>
      <c r="D39" s="393"/>
      <c r="E39" s="393"/>
      <c r="F39" s="393"/>
      <c r="K39" s="5"/>
    </row>
    <row r="40" spans="1:13">
      <c r="A40" s="14" t="s">
        <v>257</v>
      </c>
      <c r="K40" s="5"/>
    </row>
    <row r="41" spans="1:13">
      <c r="A41" s="86" t="s">
        <v>258</v>
      </c>
      <c r="B41" s="86" t="s">
        <v>267</v>
      </c>
      <c r="C41" s="86" t="s">
        <v>268</v>
      </c>
      <c r="D41" s="86" t="s">
        <v>259</v>
      </c>
      <c r="E41" s="86" t="s">
        <v>157</v>
      </c>
      <c r="F41" s="86" t="s">
        <v>260</v>
      </c>
      <c r="K41" s="5"/>
    </row>
    <row r="42" spans="1:13">
      <c r="A42" s="326" t="str">
        <f t="shared" ref="A42:A48" ca="1" si="4">IF(L25="-","-",L25)</f>
        <v>-</v>
      </c>
      <c r="B42" s="279" t="str">
        <f t="shared" ref="B42:B48" ca="1" si="5">IF(A42="-","-",TEXT(A42,"mmm")&amp;"/"&amp;YEAR(A42))</f>
        <v>-</v>
      </c>
      <c r="C42" s="279" t="str">
        <f ca="1">IF(A42="-","-",COUNTIFS(tbParcelas6[Cartão],"Crédito INTER - Ana",tbParcelas6[Data_Vencimento],"&gt;="&amp;DATE(YEAR(A42),MONTH(A42),1),tbParcelas6[Data_Vencimento],"&lt;="&amp;EOMONTH(A42,0)))</f>
        <v>-</v>
      </c>
      <c r="D42" s="327" t="str">
        <f ca="1">IF(A42="-","-",SUMIFS(tbParcelas6[Valor_Parcela],tbParcelas6[Cartão],"Crédito INTER - Ana",tbParcelas6[Data_Vencimento],"&gt;="&amp;DATE(YEAR(A42),MONTH(A42),1),tbParcelas6[Data_Vencimento],"&lt;="&amp;EOMONTH(A42,0)))</f>
        <v>-</v>
      </c>
      <c r="E42" s="279" t="str">
        <f t="shared" ref="E42:E48" ca="1" si="6">IF(A42="-","-",IF(A42&lt;$B$22,"⚠️ Vencida",IF(A42-$B$22&lt;=7,"🔴 Urgente",IF(A42-$B$22&lt;=15,"🟡 Próxima","🟢 OK"))))</f>
        <v>-</v>
      </c>
      <c r="F42" s="279" t="str">
        <f t="shared" ref="F42:F48" ca="1" si="7">IF(A42="-","-",A42-$B$22)</f>
        <v>-</v>
      </c>
      <c r="K42" s="5"/>
    </row>
    <row r="43" spans="1:13">
      <c r="A43" s="71" t="str">
        <f t="shared" ca="1" si="4"/>
        <v>-</v>
      </c>
      <c r="B43" t="str">
        <f t="shared" ca="1" si="5"/>
        <v>-</v>
      </c>
      <c r="C43" t="str">
        <f ca="1">IF(A43="-","-",COUNTIFS(tbParcelas6[Cartão],"Crédito INTER - Ana",tbParcelas6[Data_Vencimento],"&gt;="&amp;DATE(YEAR(A43),MONTH(A43),1),tbParcelas6[Data_Vencimento],"&lt;="&amp;EOMONTH(A43,0)))</f>
        <v>-</v>
      </c>
      <c r="D43" s="180" t="str">
        <f ca="1">IF(A43="-","-",SUMIFS(tbParcelas6[Valor_Parcela],tbParcelas6[Cartão],"Crédito INTER - Ana",tbParcelas6[Data_Vencimento],"&gt;="&amp;DATE(YEAR(A43),MONTH(A43),1),tbParcelas6[Data_Vencimento],"&lt;="&amp;EOMONTH(A43,0)))</f>
        <v>-</v>
      </c>
      <c r="E43" t="str">
        <f t="shared" ca="1" si="6"/>
        <v>-</v>
      </c>
      <c r="F43" t="str">
        <f t="shared" ca="1" si="7"/>
        <v>-</v>
      </c>
      <c r="K43" s="5"/>
    </row>
    <row r="44" spans="1:13">
      <c r="A44" s="71" t="str">
        <f t="shared" ca="1" si="4"/>
        <v>-</v>
      </c>
      <c r="B44" t="str">
        <f t="shared" ca="1" si="5"/>
        <v>-</v>
      </c>
      <c r="C44" t="str">
        <f ca="1">IF(A44="-","-",COUNTIFS(tbParcelas6[Cartão],"Crédito INTER - Ana",tbParcelas6[Data_Vencimento],"&gt;="&amp;DATE(YEAR(A44),MONTH(A44),1),tbParcelas6[Data_Vencimento],"&lt;="&amp;EOMONTH(A44,0)))</f>
        <v>-</v>
      </c>
      <c r="D44" s="180" t="str">
        <f ca="1">IF(A44="-","-",SUMIFS(tbParcelas6[Valor_Parcela],tbParcelas6[Cartão],"Crédito INTER - Ana",tbParcelas6[Data_Vencimento],"&gt;="&amp;DATE(YEAR(A44),MONTH(A44),1),tbParcelas6[Data_Vencimento],"&lt;="&amp;EOMONTH(A44,0)))</f>
        <v>-</v>
      </c>
      <c r="E44" t="str">
        <f t="shared" ca="1" si="6"/>
        <v>-</v>
      </c>
      <c r="F44" t="str">
        <f t="shared" ca="1" si="7"/>
        <v>-</v>
      </c>
      <c r="K44" s="5"/>
    </row>
    <row r="45" spans="1:13">
      <c r="A45" s="71" t="str">
        <f t="shared" ca="1" si="4"/>
        <v>-</v>
      </c>
      <c r="B45" t="str">
        <f t="shared" ca="1" si="5"/>
        <v>-</v>
      </c>
      <c r="C45" t="str">
        <f ca="1">IF(A45="-","-",COUNTIFS(tbParcelas6[Cartão],"Crédito INTER - Ana",tbParcelas6[Data_Vencimento],"&gt;="&amp;DATE(YEAR(A45),MONTH(A45),1),tbParcelas6[Data_Vencimento],"&lt;="&amp;EOMONTH(A45,0)))</f>
        <v>-</v>
      </c>
      <c r="D45" s="180" t="str">
        <f ca="1">IF(A45="-","-",SUMIFS(tbParcelas6[Valor_Parcela],tbParcelas6[Cartão],"Crédito INTER - Ana",tbParcelas6[Data_Vencimento],"&gt;="&amp;DATE(YEAR(A45),MONTH(A45),1),tbParcelas6[Data_Vencimento],"&lt;="&amp;EOMONTH(A45,0)))</f>
        <v>-</v>
      </c>
      <c r="E45" t="str">
        <f t="shared" ca="1" si="6"/>
        <v>-</v>
      </c>
      <c r="F45" t="str">
        <f t="shared" ca="1" si="7"/>
        <v>-</v>
      </c>
      <c r="K45" s="5"/>
    </row>
    <row r="46" spans="1:13">
      <c r="A46" s="71" t="str">
        <f t="shared" ca="1" si="4"/>
        <v>-</v>
      </c>
      <c r="B46" t="str">
        <f t="shared" ca="1" si="5"/>
        <v>-</v>
      </c>
      <c r="C46" t="str">
        <f ca="1">IF(A46="-","-",COUNTIFS(tbParcelas6[Cartão],"Crédito INTER - Ana",tbParcelas6[Data_Vencimento],"&gt;="&amp;DATE(YEAR(A46),MONTH(A46),1),tbParcelas6[Data_Vencimento],"&lt;="&amp;EOMONTH(A46,0)))</f>
        <v>-</v>
      </c>
      <c r="D46" s="180" t="str">
        <f ca="1">IF(A46="-","-",SUMIFS(tbParcelas6[Valor_Parcela],tbParcelas6[Cartão],"Crédito INTER - Ana",tbParcelas6[Data_Vencimento],"&gt;="&amp;DATE(YEAR(A46),MONTH(A46),1),tbParcelas6[Data_Vencimento],"&lt;="&amp;EOMONTH(A46,0)))</f>
        <v>-</v>
      </c>
      <c r="E46" t="str">
        <f t="shared" ca="1" si="6"/>
        <v>-</v>
      </c>
      <c r="F46" t="str">
        <f t="shared" ca="1" si="7"/>
        <v>-</v>
      </c>
      <c r="K46" s="5"/>
    </row>
    <row r="47" spans="1:13">
      <c r="A47" s="71" t="str">
        <f t="shared" ca="1" si="4"/>
        <v>-</v>
      </c>
      <c r="B47" t="str">
        <f t="shared" ca="1" si="5"/>
        <v>-</v>
      </c>
      <c r="C47" t="str">
        <f ca="1">IF(A47="-","-",COUNTIFS(tbParcelas6[Cartão],"Crédito INTER - Ana",tbParcelas6[Data_Vencimento],"&gt;="&amp;DATE(YEAR(A47),MONTH(A47),1),tbParcelas6[Data_Vencimento],"&lt;="&amp;EOMONTH(A47,0)))</f>
        <v>-</v>
      </c>
      <c r="D47" s="180" t="str">
        <f ca="1">IF(A47="-","-",SUMIFS(tbParcelas6[Valor_Parcela],tbParcelas6[Cartão],"Crédito INTER - Ana",tbParcelas6[Data_Vencimento],"&gt;="&amp;DATE(YEAR(A47),MONTH(A47),1),tbParcelas6[Data_Vencimento],"&lt;="&amp;EOMONTH(A47,0)))</f>
        <v>-</v>
      </c>
      <c r="E47" t="str">
        <f t="shared" ca="1" si="6"/>
        <v>-</v>
      </c>
      <c r="F47" t="str">
        <f t="shared" ca="1" si="7"/>
        <v>-</v>
      </c>
      <c r="K47" s="5"/>
    </row>
    <row r="48" spans="1:13">
      <c r="A48" s="71" t="str">
        <f t="shared" ca="1" si="4"/>
        <v>-</v>
      </c>
      <c r="B48" t="str">
        <f t="shared" ca="1" si="5"/>
        <v>-</v>
      </c>
      <c r="C48" t="str">
        <f ca="1">IF(A48="-","-",COUNTIFS(tbParcelas6[Cartão],"Crédito INTER - Ana",tbParcelas6[Data_Vencimento],"&gt;="&amp;DATE(YEAR(A48),MONTH(A48),1),tbParcelas6[Data_Vencimento],"&lt;="&amp;EOMONTH(A48,0)))</f>
        <v>-</v>
      </c>
      <c r="D48" s="180" t="str">
        <f ca="1">IF(A48="-","-",SUMIFS(tbParcelas6[Valor_Parcela],tbParcelas6[Cartão],"Crédito INTER - Ana",tbParcelas6[Data_Vencimento],"&gt;="&amp;DATE(YEAR(A48),MONTH(A48),1),tbParcelas6[Data_Vencimento],"&lt;="&amp;EOMONTH(A48,0)))</f>
        <v>-</v>
      </c>
      <c r="E48" t="str">
        <f t="shared" ca="1" si="6"/>
        <v>-</v>
      </c>
      <c r="F48" t="str">
        <f t="shared" ca="1" si="7"/>
        <v>-</v>
      </c>
      <c r="K48" s="5"/>
    </row>
    <row r="49" spans="1:6" ht="15.6">
      <c r="A49" s="394" t="s">
        <v>398</v>
      </c>
      <c r="B49" s="394"/>
      <c r="C49" s="394"/>
      <c r="D49" s="394"/>
      <c r="E49" s="394"/>
      <c r="F49" s="394"/>
    </row>
    <row r="50" spans="1:6">
      <c r="A50" s="83" t="s">
        <v>261</v>
      </c>
    </row>
    <row r="51" spans="1:6">
      <c r="A51" s="37" t="s">
        <v>258</v>
      </c>
      <c r="B51" s="37" t="s">
        <v>267</v>
      </c>
      <c r="C51" s="37" t="s">
        <v>268</v>
      </c>
      <c r="D51" s="37" t="s">
        <v>259</v>
      </c>
      <c r="E51" s="37" t="s">
        <v>157</v>
      </c>
      <c r="F51" s="37" t="s">
        <v>260</v>
      </c>
    </row>
    <row r="52" spans="1:6">
      <c r="A52" s="71" t="str">
        <f t="shared" ref="A52:A57" ca="1" si="8">IF(M25="-","-",M25)</f>
        <v>-</v>
      </c>
      <c r="B52" t="str">
        <f t="shared" ref="B52:B58" ca="1" si="9">IF(A52="-","-",TEXT(A52,"mmm")&amp;"/"&amp;YEAR(A52))</f>
        <v>-</v>
      </c>
      <c r="C52" t="str">
        <f ca="1">IF(A52="-","-",COUNTIFS(tbParcelas6[Cartão],"Crédito Credicom Ana",tbParcelas6[Data_Vencimento],"&gt;="&amp;DATE(YEAR(A52),MONTH(A52),1),tbParcelas6[Data_Vencimento],"&lt;="&amp;EOMONTH(A52,0)))</f>
        <v>-</v>
      </c>
      <c r="D52" s="180" t="str">
        <f ca="1">IF(A52="-","-",SUMIFS(tbParcelas6[Valor_Parcela],tbParcelas6[Cartão],"Crédito Credicom Ana",tbParcelas6[Data_Vencimento],"&gt;="&amp;DATE(YEAR(A52),MONTH(A52),1),tbParcelas6[Data_Vencimento],"&lt;="&amp;EOMONTH(A52,0)))</f>
        <v>-</v>
      </c>
      <c r="E52" t="str">
        <f t="shared" ref="E52:E58" ca="1" si="10">IF(A52="-","-",IF(A52&lt;$B$22,"⚠️ Vencida",IF(A52-$B$22&lt;=7,"🔴 Urgente",IF(A52-$B$22&lt;=15,"🟡 Próxima","🟢 OK"))))</f>
        <v>-</v>
      </c>
      <c r="F52" t="str">
        <f t="shared" ref="F52:F58" ca="1" si="11">IF(A52="-","-",A52-$B$22)</f>
        <v>-</v>
      </c>
    </row>
    <row r="53" spans="1:6">
      <c r="A53" s="71" t="str">
        <f t="shared" ca="1" si="8"/>
        <v>-</v>
      </c>
      <c r="B53" t="str">
        <f t="shared" ca="1" si="9"/>
        <v>-</v>
      </c>
      <c r="C53" t="str">
        <f ca="1">IF(A53="-","-",COUNTIFS(tbParcelas6[Cartão],"Crédito Credicom Ana",tbParcelas6[Data_Vencimento],"&gt;="&amp;DATE(YEAR(A53),MONTH(A53),1),tbParcelas6[Data_Vencimento],"&lt;="&amp;EOMONTH(A53,0)))</f>
        <v>-</v>
      </c>
      <c r="D53" s="180" t="str">
        <f ca="1">IF(A53="-","-",SUMIFS(tbParcelas6[Valor_Parcela],tbParcelas6[Cartão],"Crédito Credicom Ana",tbParcelas6[Data_Vencimento],"&gt;="&amp;DATE(YEAR(A53),MONTH(A53),1),tbParcelas6[Data_Vencimento],"&lt;="&amp;EOMONTH(A53,0)))</f>
        <v>-</v>
      </c>
      <c r="E53" t="str">
        <f t="shared" ca="1" si="10"/>
        <v>-</v>
      </c>
      <c r="F53" t="str">
        <f t="shared" ca="1" si="11"/>
        <v>-</v>
      </c>
    </row>
    <row r="54" spans="1:6">
      <c r="A54" s="71"/>
      <c r="D54" s="180"/>
    </row>
    <row r="55" spans="1:6">
      <c r="A55" s="71"/>
      <c r="D55" s="180"/>
    </row>
    <row r="56" spans="1:6">
      <c r="A56" s="71"/>
      <c r="D56" s="180"/>
    </row>
    <row r="57" spans="1:6">
      <c r="A57" s="71"/>
      <c r="D57" s="180"/>
    </row>
    <row r="58" spans="1:6">
      <c r="A58" s="71"/>
      <c r="D58" s="180"/>
    </row>
    <row r="59" spans="1:6">
      <c r="A59" s="71"/>
      <c r="D59" s="180"/>
    </row>
    <row r="60" spans="1:6">
      <c r="A60" s="71"/>
      <c r="D60" s="180"/>
    </row>
    <row r="61" spans="1:6" ht="15.6">
      <c r="A61" s="391" t="s">
        <v>338</v>
      </c>
      <c r="B61" s="391"/>
      <c r="C61" s="391"/>
      <c r="D61" s="391"/>
      <c r="E61" s="391"/>
      <c r="F61" s="391"/>
    </row>
    <row r="62" spans="1:6">
      <c r="A62" s="84" t="s">
        <v>87</v>
      </c>
      <c r="B62" s="84" t="s">
        <v>262</v>
      </c>
      <c r="C62" s="84" t="s">
        <v>6</v>
      </c>
      <c r="D62" s="84" t="s">
        <v>157</v>
      </c>
      <c r="E62" s="84" t="s">
        <v>269</v>
      </c>
      <c r="F62" s="84"/>
    </row>
    <row r="63" spans="1:6">
      <c r="A63" t="s">
        <v>390</v>
      </c>
      <c r="B63" s="5" t="str">
        <f ca="1">A27</f>
        <v>-</v>
      </c>
      <c r="C63" s="180" t="str">
        <f ca="1">IF(A63="-","-",D27)</f>
        <v>-</v>
      </c>
      <c r="D63" t="str">
        <f ca="1">E27</f>
        <v>-</v>
      </c>
      <c r="E63" t="str">
        <f ca="1">F27</f>
        <v>-</v>
      </c>
    </row>
    <row r="64" spans="1:6">
      <c r="A64" t="s">
        <v>391</v>
      </c>
      <c r="B64" s="5" t="str">
        <f ca="1">IF(A42="-","-",A42)</f>
        <v>-</v>
      </c>
      <c r="C64" s="180">
        <f ca="1">IF(D42="-",0,D42)</f>
        <v>0</v>
      </c>
      <c r="D64" t="str">
        <f ca="1">E42</f>
        <v>-</v>
      </c>
      <c r="E64" t="str">
        <f ca="1">F42</f>
        <v>-</v>
      </c>
    </row>
    <row r="65" spans="1:5">
      <c r="A65" t="s">
        <v>392</v>
      </c>
      <c r="B65" s="5" t="str">
        <f ca="1">IF(A52="-","-",A52)</f>
        <v>-</v>
      </c>
      <c r="C65" s="180">
        <f ca="1">IF(D52="-",0,D52)</f>
        <v>0</v>
      </c>
      <c r="D65" t="str">
        <f ca="1">E52</f>
        <v>-</v>
      </c>
      <c r="E65" t="str">
        <f ca="1">F52</f>
        <v>-</v>
      </c>
    </row>
    <row r="68" spans="1:5">
      <c r="A68" s="10" t="s">
        <v>263</v>
      </c>
      <c r="C68" s="181">
        <f ca="1">SUM(C63:C65)</f>
        <v>0</v>
      </c>
    </row>
    <row r="69" spans="1:5">
      <c r="A69" s="10"/>
      <c r="C69" s="328"/>
    </row>
    <row r="71" spans="1:5">
      <c r="A71" s="10" t="s">
        <v>270</v>
      </c>
    </row>
    <row r="72" spans="1:5">
      <c r="A72" s="83" t="s">
        <v>271</v>
      </c>
    </row>
    <row r="74" spans="1:5">
      <c r="A74" s="87" t="s">
        <v>272</v>
      </c>
    </row>
    <row r="75" spans="1:5">
      <c r="A75" s="87" t="s">
        <v>273</v>
      </c>
    </row>
  </sheetData>
  <mergeCells count="7">
    <mergeCell ref="A61:F61"/>
    <mergeCell ref="A24:F24"/>
    <mergeCell ref="A39:F39"/>
    <mergeCell ref="A49:F49"/>
    <mergeCell ref="A1:E1"/>
    <mergeCell ref="A20:F20"/>
    <mergeCell ref="A21:F2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2742-3283-4BC6-BF74-70157C079828}">
  <sheetPr>
    <tabColor theme="9"/>
  </sheetPr>
  <dimension ref="A1:H326"/>
  <sheetViews>
    <sheetView showGridLines="0" workbookViewId="0">
      <pane ySplit="4" topLeftCell="A5" activePane="bottomLeft" state="frozen"/>
      <selection pane="bottomLeft" activeCell="I1" sqref="I1:L1048576"/>
    </sheetView>
  </sheetViews>
  <sheetFormatPr defaultRowHeight="14.4"/>
  <cols>
    <col min="1" max="1" width="16.6640625" style="111" customWidth="1"/>
    <col min="2" max="2" width="14.77734375" style="111" customWidth="1"/>
    <col min="3" max="3" width="20.33203125" style="111" customWidth="1"/>
    <col min="4" max="4" width="33.33203125" style="111" customWidth="1"/>
    <col min="5" max="5" width="18.5546875" style="111" customWidth="1"/>
    <col min="6" max="6" width="37" style="111" customWidth="1"/>
    <col min="7" max="7" width="16.6640625" style="111" customWidth="1"/>
    <col min="8" max="8" width="5.5546875" style="111" customWidth="1"/>
    <col min="9" max="16384" width="8.88671875" style="111"/>
  </cols>
  <sheetData>
    <row r="1" spans="1:8" ht="30" customHeight="1">
      <c r="A1" s="113" t="s">
        <v>310</v>
      </c>
      <c r="B1"/>
      <c r="C1"/>
      <c r="D1"/>
      <c r="E1"/>
      <c r="F1"/>
      <c r="G1"/>
      <c r="H1"/>
    </row>
    <row r="2" spans="1:8">
      <c r="A2" s="114" t="s">
        <v>311</v>
      </c>
      <c r="B2"/>
      <c r="C2"/>
      <c r="D2"/>
      <c r="E2"/>
      <c r="F2"/>
      <c r="G2"/>
      <c r="H2"/>
    </row>
    <row r="3" spans="1:8">
      <c r="A3"/>
      <c r="B3"/>
      <c r="C3"/>
      <c r="D3"/>
      <c r="E3"/>
      <c r="F3"/>
      <c r="G3"/>
      <c r="H3"/>
    </row>
    <row r="4" spans="1:8" ht="25.05" customHeight="1">
      <c r="A4" s="115" t="s">
        <v>312</v>
      </c>
      <c r="B4" s="116" t="s">
        <v>313</v>
      </c>
      <c r="C4" s="116" t="s">
        <v>314</v>
      </c>
      <c r="D4" s="116" t="s">
        <v>315</v>
      </c>
      <c r="E4" s="116" t="s">
        <v>316</v>
      </c>
      <c r="F4" s="116" t="s">
        <v>317</v>
      </c>
      <c r="G4" s="117" t="s">
        <v>318</v>
      </c>
      <c r="H4" s="112"/>
    </row>
    <row r="5" spans="1:8" ht="19.95" customHeight="1">
      <c r="A5" s="118"/>
      <c r="B5" s="119"/>
      <c r="C5" s="120"/>
      <c r="D5" s="120"/>
      <c r="E5" s="204"/>
      <c r="F5" s="120"/>
      <c r="G5" s="121"/>
      <c r="H5" s="112"/>
    </row>
    <row r="6" spans="1:8" ht="19.95" customHeight="1">
      <c r="A6" s="118"/>
      <c r="B6" s="119"/>
      <c r="C6" s="120"/>
      <c r="D6" s="120"/>
      <c r="E6" s="204"/>
      <c r="F6" s="120"/>
      <c r="G6" s="121"/>
      <c r="H6" s="112"/>
    </row>
    <row r="7" spans="1:8" ht="19.95" customHeight="1">
      <c r="A7" s="118"/>
      <c r="B7" s="119"/>
      <c r="C7" s="120"/>
      <c r="D7" s="120"/>
      <c r="E7" s="204"/>
      <c r="F7" s="120"/>
      <c r="G7" s="121"/>
      <c r="H7" s="112"/>
    </row>
    <row r="8" spans="1:8" ht="19.95" customHeight="1">
      <c r="A8" s="118"/>
      <c r="B8" s="119"/>
      <c r="C8" s="120"/>
      <c r="D8" s="120"/>
      <c r="E8" s="204"/>
      <c r="F8" s="120"/>
      <c r="G8" s="121"/>
      <c r="H8" s="112"/>
    </row>
    <row r="9" spans="1:8" ht="19.95" customHeight="1">
      <c r="A9" s="118"/>
      <c r="B9" s="119"/>
      <c r="C9" s="120"/>
      <c r="D9" s="120"/>
      <c r="E9" s="204"/>
      <c r="F9" s="120"/>
      <c r="G9" s="121"/>
      <c r="H9" s="112"/>
    </row>
    <row r="10" spans="1:8" ht="19.95" customHeight="1">
      <c r="A10" s="118"/>
      <c r="B10" s="119"/>
      <c r="C10" s="120"/>
      <c r="D10" s="120"/>
      <c r="E10" s="204"/>
      <c r="F10" s="120"/>
      <c r="G10" s="121"/>
      <c r="H10" s="112"/>
    </row>
    <row r="11" spans="1:8" ht="19.95" customHeight="1">
      <c r="A11" s="118"/>
      <c r="B11" s="119"/>
      <c r="C11" s="120"/>
      <c r="D11" s="120"/>
      <c r="E11" s="204"/>
      <c r="F11" s="120"/>
      <c r="G11" s="121"/>
      <c r="H11" s="112"/>
    </row>
    <row r="12" spans="1:8" ht="19.95" customHeight="1">
      <c r="A12" s="118"/>
      <c r="B12" s="119"/>
      <c r="C12" s="120"/>
      <c r="D12" s="120"/>
      <c r="E12" s="204"/>
      <c r="F12" s="120"/>
      <c r="G12" s="121"/>
      <c r="H12" s="112"/>
    </row>
    <row r="13" spans="1:8" ht="19.95" customHeight="1">
      <c r="A13" s="118"/>
      <c r="B13" s="119"/>
      <c r="C13" s="120"/>
      <c r="D13" s="120"/>
      <c r="E13" s="204"/>
      <c r="F13" s="120"/>
      <c r="G13" s="121"/>
      <c r="H13" s="112"/>
    </row>
    <row r="14" spans="1:8" ht="19.95" customHeight="1">
      <c r="A14" s="118"/>
      <c r="B14" s="119"/>
      <c r="C14" s="120"/>
      <c r="D14" s="120"/>
      <c r="E14" s="204"/>
      <c r="F14" s="120"/>
      <c r="G14" s="121"/>
      <c r="H14" s="112"/>
    </row>
    <row r="15" spans="1:8" ht="19.95" customHeight="1">
      <c r="A15" s="118"/>
      <c r="B15" s="119"/>
      <c r="C15" s="120"/>
      <c r="D15" s="120"/>
      <c r="E15" s="204"/>
      <c r="F15" s="120"/>
      <c r="G15" s="121"/>
      <c r="H15" s="112"/>
    </row>
    <row r="16" spans="1:8" ht="19.95" customHeight="1">
      <c r="A16" s="118"/>
      <c r="B16" s="119"/>
      <c r="C16" s="120"/>
      <c r="D16" s="120"/>
      <c r="E16" s="204"/>
      <c r="F16" s="120"/>
      <c r="G16" s="121"/>
      <c r="H16" s="112"/>
    </row>
    <row r="17" spans="1:8" ht="19.95" customHeight="1">
      <c r="A17" s="118"/>
      <c r="B17" s="119"/>
      <c r="C17" s="120"/>
      <c r="D17" s="120"/>
      <c r="E17" s="204"/>
      <c r="F17" s="120"/>
      <c r="G17" s="121"/>
      <c r="H17" s="112"/>
    </row>
    <row r="18" spans="1:8" ht="19.95" customHeight="1">
      <c r="A18" s="118"/>
      <c r="B18" s="119"/>
      <c r="C18" s="120"/>
      <c r="D18" s="120"/>
      <c r="E18" s="204"/>
      <c r="F18" s="120"/>
      <c r="G18" s="121"/>
      <c r="H18" s="112"/>
    </row>
    <row r="19" spans="1:8" ht="19.95" customHeight="1">
      <c r="A19" s="118"/>
      <c r="B19" s="119"/>
      <c r="C19" s="120"/>
      <c r="D19" s="120"/>
      <c r="E19" s="204"/>
      <c r="F19" s="120"/>
      <c r="G19" s="121"/>
      <c r="H19" s="112"/>
    </row>
    <row r="20" spans="1:8" ht="19.95" customHeight="1">
      <c r="A20" s="118"/>
      <c r="B20" s="119"/>
      <c r="C20" s="120"/>
      <c r="D20" s="120"/>
      <c r="E20" s="204"/>
      <c r="F20" s="120"/>
      <c r="G20" s="121"/>
      <c r="H20" s="112"/>
    </row>
    <row r="21" spans="1:8" ht="19.95" customHeight="1">
      <c r="A21" s="118"/>
      <c r="B21" s="119"/>
      <c r="C21" s="120"/>
      <c r="D21" s="120"/>
      <c r="E21" s="204"/>
      <c r="F21" s="120"/>
      <c r="G21" s="121"/>
      <c r="H21" s="112"/>
    </row>
    <row r="22" spans="1:8" ht="19.95" customHeight="1">
      <c r="A22" s="118"/>
      <c r="B22" s="119"/>
      <c r="C22" s="120"/>
      <c r="D22" s="120"/>
      <c r="E22" s="204"/>
      <c r="F22" s="120"/>
      <c r="G22" s="121"/>
      <c r="H22" s="112"/>
    </row>
    <row r="23" spans="1:8" ht="19.95" customHeight="1">
      <c r="A23" s="118"/>
      <c r="B23" s="119"/>
      <c r="C23" s="120"/>
      <c r="D23" s="120"/>
      <c r="E23" s="204"/>
      <c r="F23" s="120"/>
      <c r="G23" s="121"/>
      <c r="H23" s="112"/>
    </row>
    <row r="24" spans="1:8" ht="19.95" customHeight="1">
      <c r="A24" s="118"/>
      <c r="B24" s="119"/>
      <c r="C24" s="120"/>
      <c r="D24" s="120"/>
      <c r="E24" s="204"/>
      <c r="F24" s="120"/>
      <c r="G24" s="121"/>
      <c r="H24" s="112"/>
    </row>
    <row r="25" spans="1:8" ht="19.95" customHeight="1">
      <c r="A25" s="118"/>
      <c r="B25" s="119"/>
      <c r="C25" s="120"/>
      <c r="D25" s="120"/>
      <c r="E25" s="204"/>
      <c r="F25" s="120"/>
      <c r="G25" s="121"/>
      <c r="H25" s="112"/>
    </row>
    <row r="26" spans="1:8" ht="19.95" customHeight="1">
      <c r="A26" s="118"/>
      <c r="B26" s="119"/>
      <c r="C26" s="120"/>
      <c r="D26" s="120"/>
      <c r="E26" s="204"/>
      <c r="F26" s="120"/>
      <c r="G26" s="121"/>
      <c r="H26" s="112"/>
    </row>
    <row r="27" spans="1:8" ht="19.95" customHeight="1">
      <c r="A27" s="118"/>
      <c r="B27" s="119"/>
      <c r="C27" s="120"/>
      <c r="D27" s="120"/>
      <c r="E27" s="204"/>
      <c r="F27" s="120"/>
      <c r="G27" s="121"/>
      <c r="H27" s="112"/>
    </row>
    <row r="28" spans="1:8" ht="19.95" customHeight="1">
      <c r="A28" s="118"/>
      <c r="B28" s="119"/>
      <c r="C28" s="120"/>
      <c r="D28" s="120"/>
      <c r="E28" s="204"/>
      <c r="F28" s="120"/>
      <c r="G28" s="121"/>
      <c r="H28" s="112"/>
    </row>
    <row r="29" spans="1:8" ht="19.95" customHeight="1">
      <c r="A29" s="118"/>
      <c r="B29" s="119"/>
      <c r="C29" s="120"/>
      <c r="D29" s="120"/>
      <c r="E29" s="204"/>
      <c r="F29" s="120"/>
      <c r="G29" s="121"/>
      <c r="H29" s="112"/>
    </row>
    <row r="30" spans="1:8" ht="19.95" customHeight="1">
      <c r="A30" s="118"/>
      <c r="B30" s="119"/>
      <c r="C30" s="120"/>
      <c r="D30" s="120"/>
      <c r="E30" s="204"/>
      <c r="F30" s="120"/>
      <c r="G30" s="121"/>
      <c r="H30" s="112"/>
    </row>
    <row r="31" spans="1:8" ht="19.95" customHeight="1">
      <c r="A31" s="118"/>
      <c r="B31" s="119"/>
      <c r="C31" s="120"/>
      <c r="D31" s="120"/>
      <c r="E31" s="204"/>
      <c r="F31" s="120"/>
      <c r="G31" s="121"/>
      <c r="H31" s="112"/>
    </row>
    <row r="32" spans="1:8" ht="19.95" customHeight="1">
      <c r="A32" s="118"/>
      <c r="B32" s="119"/>
      <c r="C32" s="120"/>
      <c r="D32" s="120"/>
      <c r="E32" s="204"/>
      <c r="F32" s="120"/>
      <c r="G32" s="121"/>
      <c r="H32" s="112"/>
    </row>
    <row r="33" spans="1:8" ht="19.95" customHeight="1">
      <c r="A33" s="122"/>
      <c r="B33" s="123"/>
      <c r="C33" s="124"/>
      <c r="D33" s="124"/>
      <c r="E33" s="205"/>
      <c r="F33" s="124"/>
      <c r="G33" s="125"/>
      <c r="H33" s="112"/>
    </row>
    <row r="34" spans="1:8" ht="19.95" customHeight="1">
      <c r="A34" s="122"/>
      <c r="B34" s="123"/>
      <c r="C34" s="124"/>
      <c r="D34" s="124"/>
      <c r="E34" s="205"/>
      <c r="F34" s="124"/>
      <c r="G34" s="125"/>
      <c r="H34" s="112"/>
    </row>
    <row r="35" spans="1:8" ht="19.95" customHeight="1">
      <c r="A35" s="122"/>
      <c r="B35" s="123"/>
      <c r="C35" s="124"/>
      <c r="D35" s="124"/>
      <c r="E35" s="205"/>
      <c r="F35" s="124"/>
      <c r="G35" s="125"/>
      <c r="H35" s="112"/>
    </row>
    <row r="36" spans="1:8" ht="19.95" customHeight="1">
      <c r="A36" s="122"/>
      <c r="B36" s="123"/>
      <c r="C36" s="124"/>
      <c r="D36" s="124"/>
      <c r="E36" s="205"/>
      <c r="F36" s="124"/>
      <c r="G36" s="125"/>
      <c r="H36" s="112"/>
    </row>
    <row r="37" spans="1:8" ht="19.95" customHeight="1">
      <c r="A37" s="122"/>
      <c r="B37" s="123"/>
      <c r="C37" s="124"/>
      <c r="D37" s="124"/>
      <c r="E37" s="205"/>
      <c r="F37" s="124"/>
      <c r="G37" s="125"/>
      <c r="H37" s="112"/>
    </row>
    <row r="38" spans="1:8" ht="19.95" customHeight="1">
      <c r="A38" s="122"/>
      <c r="B38" s="123"/>
      <c r="C38" s="124"/>
      <c r="D38" s="124"/>
      <c r="E38" s="205"/>
      <c r="F38" s="124"/>
      <c r="G38" s="125"/>
      <c r="H38" s="112"/>
    </row>
    <row r="39" spans="1:8" ht="19.95" customHeight="1">
      <c r="A39" s="122"/>
      <c r="B39" s="123"/>
      <c r="C39" s="124"/>
      <c r="D39" s="124"/>
      <c r="E39" s="205"/>
      <c r="F39" s="124"/>
      <c r="G39" s="125"/>
      <c r="H39" s="112"/>
    </row>
    <row r="40" spans="1:8" ht="19.95" customHeight="1">
      <c r="A40" s="122"/>
      <c r="B40" s="123"/>
      <c r="C40" s="124"/>
      <c r="D40" s="124"/>
      <c r="E40" s="205"/>
      <c r="F40" s="124"/>
      <c r="G40" s="125"/>
      <c r="H40" s="112"/>
    </row>
    <row r="41" spans="1:8" ht="19.95" customHeight="1">
      <c r="A41" s="122"/>
      <c r="B41" s="123"/>
      <c r="C41" s="124"/>
      <c r="D41" s="124"/>
      <c r="E41" s="205"/>
      <c r="F41" s="124"/>
      <c r="G41" s="125"/>
      <c r="H41" s="112"/>
    </row>
    <row r="42" spans="1:8" ht="19.95" customHeight="1">
      <c r="A42" s="122"/>
      <c r="B42" s="123"/>
      <c r="C42" s="124"/>
      <c r="D42" s="124"/>
      <c r="E42" s="205"/>
      <c r="F42" s="124"/>
      <c r="G42" s="125"/>
      <c r="H42" s="112"/>
    </row>
    <row r="43" spans="1:8" ht="19.95" customHeight="1">
      <c r="A43" s="122"/>
      <c r="B43" s="123"/>
      <c r="C43" s="124"/>
      <c r="D43" s="124"/>
      <c r="E43" s="205"/>
      <c r="F43" s="124"/>
      <c r="G43" s="125"/>
      <c r="H43" s="112"/>
    </row>
    <row r="44" spans="1:8" ht="19.95" customHeight="1">
      <c r="A44" s="122"/>
      <c r="B44" s="123"/>
      <c r="C44" s="124"/>
      <c r="D44" s="124"/>
      <c r="E44" s="205"/>
      <c r="F44" s="124"/>
      <c r="G44" s="125"/>
      <c r="H44" s="112"/>
    </row>
    <row r="45" spans="1:8" ht="19.95" customHeight="1">
      <c r="A45" s="122"/>
      <c r="B45" s="123"/>
      <c r="C45" s="124"/>
      <c r="D45" s="124"/>
      <c r="E45" s="205"/>
      <c r="F45" s="124"/>
      <c r="G45" s="125"/>
      <c r="H45" s="112"/>
    </row>
    <row r="46" spans="1:8" ht="19.95" customHeight="1">
      <c r="A46" s="122"/>
      <c r="B46" s="123"/>
      <c r="C46" s="124"/>
      <c r="D46" s="124"/>
      <c r="E46" s="205"/>
      <c r="F46" s="124"/>
      <c r="G46" s="125"/>
      <c r="H46" s="112"/>
    </row>
    <row r="47" spans="1:8" ht="19.95" customHeight="1">
      <c r="A47" s="122"/>
      <c r="B47" s="123"/>
      <c r="C47" s="124"/>
      <c r="D47" s="124"/>
      <c r="E47" s="205"/>
      <c r="F47" s="124"/>
      <c r="G47" s="125"/>
      <c r="H47" s="112"/>
    </row>
    <row r="48" spans="1:8" ht="19.95" customHeight="1">
      <c r="A48" s="122"/>
      <c r="B48" s="123"/>
      <c r="C48" s="124"/>
      <c r="D48" s="124"/>
      <c r="E48" s="205"/>
      <c r="F48" s="124"/>
      <c r="G48" s="125"/>
      <c r="H48" s="112"/>
    </row>
    <row r="49" spans="1:7" ht="19.95" customHeight="1">
      <c r="A49" s="122"/>
      <c r="B49" s="123"/>
      <c r="C49" s="124"/>
      <c r="D49" s="124"/>
      <c r="E49" s="205"/>
      <c r="F49" s="124"/>
      <c r="G49" s="125"/>
    </row>
    <row r="50" spans="1:7" ht="19.95" customHeight="1">
      <c r="A50" s="122"/>
      <c r="B50" s="123"/>
      <c r="C50" s="124"/>
      <c r="D50" s="124"/>
      <c r="E50" s="205"/>
      <c r="F50" s="124"/>
      <c r="G50" s="125"/>
    </row>
    <row r="51" spans="1:7" ht="19.95" customHeight="1">
      <c r="A51" s="122"/>
      <c r="B51" s="123"/>
      <c r="C51" s="124"/>
      <c r="D51" s="124"/>
      <c r="E51" s="205"/>
      <c r="F51" s="124"/>
      <c r="G51" s="125"/>
    </row>
    <row r="52" spans="1:7" ht="19.95" customHeight="1">
      <c r="A52" s="122"/>
      <c r="B52" s="123"/>
      <c r="C52" s="124"/>
      <c r="D52" s="124"/>
      <c r="E52" s="205"/>
      <c r="F52" s="124"/>
      <c r="G52" s="125"/>
    </row>
    <row r="53" spans="1:7" ht="19.95" customHeight="1">
      <c r="A53" s="122"/>
      <c r="B53" s="123"/>
      <c r="C53" s="124"/>
      <c r="D53" s="124"/>
      <c r="E53" s="205"/>
      <c r="F53" s="124"/>
      <c r="G53" s="125"/>
    </row>
    <row r="54" spans="1:7" ht="19.95" customHeight="1">
      <c r="A54" s="122"/>
      <c r="B54" s="123"/>
      <c r="C54" s="124"/>
      <c r="D54" s="124"/>
      <c r="E54" s="205"/>
      <c r="F54" s="124"/>
      <c r="G54" s="125"/>
    </row>
    <row r="55" spans="1:7" ht="19.95" customHeight="1">
      <c r="A55" s="122"/>
      <c r="B55" s="123"/>
      <c r="C55" s="124"/>
      <c r="D55" s="124"/>
      <c r="E55" s="205"/>
      <c r="F55" s="124"/>
      <c r="G55" s="125"/>
    </row>
    <row r="56" spans="1:7" ht="19.95" customHeight="1">
      <c r="A56" s="122"/>
      <c r="B56" s="123"/>
      <c r="C56" s="124"/>
      <c r="D56" s="124"/>
      <c r="E56" s="205"/>
      <c r="F56" s="124"/>
      <c r="G56" s="125"/>
    </row>
    <row r="57" spans="1:7" ht="19.95" customHeight="1">
      <c r="A57" s="122"/>
      <c r="B57" s="123"/>
      <c r="C57" s="124"/>
      <c r="D57" s="124"/>
      <c r="E57" s="205"/>
      <c r="F57" s="124"/>
      <c r="G57" s="125"/>
    </row>
    <row r="58" spans="1:7" ht="19.95" customHeight="1">
      <c r="A58" s="122"/>
      <c r="B58" s="123"/>
      <c r="C58" s="124"/>
      <c r="D58" s="124"/>
      <c r="E58" s="205"/>
      <c r="F58" s="124"/>
      <c r="G58" s="125"/>
    </row>
    <row r="59" spans="1:7" ht="19.95" customHeight="1">
      <c r="A59" s="122"/>
      <c r="B59" s="123"/>
      <c r="C59" s="124"/>
      <c r="D59" s="124"/>
      <c r="E59" s="205"/>
      <c r="F59" s="124"/>
      <c r="G59" s="125"/>
    </row>
    <row r="60" spans="1:7" ht="19.95" customHeight="1">
      <c r="A60" s="122"/>
      <c r="B60" s="123"/>
      <c r="C60" s="124"/>
      <c r="D60" s="124"/>
      <c r="E60" s="205"/>
      <c r="F60" s="124"/>
      <c r="G60" s="125"/>
    </row>
    <row r="61" spans="1:7" ht="19.95" customHeight="1">
      <c r="A61" s="122"/>
      <c r="B61" s="123"/>
      <c r="C61" s="124"/>
      <c r="D61" s="124"/>
      <c r="E61" s="205"/>
      <c r="F61" s="124"/>
      <c r="G61" s="125"/>
    </row>
    <row r="62" spans="1:7" ht="19.95" customHeight="1">
      <c r="A62" s="122"/>
      <c r="B62" s="123"/>
      <c r="C62" s="124"/>
      <c r="D62" s="124"/>
      <c r="E62" s="205"/>
      <c r="F62" s="124"/>
      <c r="G62" s="125"/>
    </row>
    <row r="63" spans="1:7" ht="19.95" customHeight="1">
      <c r="A63" s="122"/>
      <c r="B63" s="123"/>
      <c r="C63" s="124"/>
      <c r="D63" s="124"/>
      <c r="E63" s="205"/>
      <c r="F63" s="124"/>
      <c r="G63" s="125"/>
    </row>
    <row r="64" spans="1:7" ht="19.95" customHeight="1">
      <c r="A64" s="122"/>
      <c r="B64" s="123"/>
      <c r="C64" s="124"/>
      <c r="D64" s="124"/>
      <c r="E64" s="205"/>
      <c r="F64" s="124"/>
      <c r="G64" s="125"/>
    </row>
    <row r="65" spans="1:7" ht="19.95" customHeight="1">
      <c r="A65" s="122"/>
      <c r="B65" s="123"/>
      <c r="C65" s="124"/>
      <c r="D65" s="124"/>
      <c r="E65" s="205"/>
      <c r="F65" s="124"/>
      <c r="G65" s="125"/>
    </row>
    <row r="66" spans="1:7" ht="19.95" customHeight="1">
      <c r="A66" s="122"/>
      <c r="B66" s="123"/>
      <c r="C66" s="124"/>
      <c r="D66" s="124"/>
      <c r="E66" s="205"/>
      <c r="F66" s="124"/>
      <c r="G66" s="125"/>
    </row>
    <row r="67" spans="1:7" ht="19.95" customHeight="1">
      <c r="A67" s="122"/>
      <c r="B67" s="123"/>
      <c r="C67" s="124"/>
      <c r="D67" s="124"/>
      <c r="E67" s="205"/>
      <c r="F67" s="124"/>
      <c r="G67" s="125"/>
    </row>
    <row r="68" spans="1:7" ht="19.95" customHeight="1">
      <c r="A68" s="122"/>
      <c r="B68" s="123"/>
      <c r="C68" s="124"/>
      <c r="D68" s="124"/>
      <c r="E68" s="205"/>
      <c r="F68" s="124"/>
      <c r="G68" s="125"/>
    </row>
    <row r="69" spans="1:7" ht="19.95" customHeight="1">
      <c r="A69" s="122"/>
      <c r="B69" s="123"/>
      <c r="C69" s="124"/>
      <c r="D69" s="124"/>
      <c r="E69" s="205"/>
      <c r="F69" s="124"/>
      <c r="G69" s="125"/>
    </row>
    <row r="70" spans="1:7" ht="19.95" customHeight="1">
      <c r="A70" s="122"/>
      <c r="B70" s="123"/>
      <c r="C70" s="124"/>
      <c r="D70" s="124"/>
      <c r="E70" s="205"/>
      <c r="F70" s="124"/>
      <c r="G70" s="125"/>
    </row>
    <row r="71" spans="1:7" ht="19.95" customHeight="1">
      <c r="A71" s="122"/>
      <c r="B71" s="123"/>
      <c r="C71" s="124"/>
      <c r="D71" s="124"/>
      <c r="E71" s="205"/>
      <c r="F71" s="124"/>
      <c r="G71" s="125"/>
    </row>
    <row r="72" spans="1:7" ht="19.95" customHeight="1">
      <c r="A72" s="122"/>
      <c r="B72" s="123"/>
      <c r="C72" s="124"/>
      <c r="D72" s="124"/>
      <c r="E72" s="205"/>
      <c r="F72" s="124"/>
      <c r="G72" s="125"/>
    </row>
    <row r="73" spans="1:7" ht="19.95" customHeight="1">
      <c r="A73" s="122"/>
      <c r="B73" s="123"/>
      <c r="C73" s="124"/>
      <c r="D73" s="124"/>
      <c r="E73" s="205"/>
      <c r="F73" s="124"/>
      <c r="G73" s="125"/>
    </row>
    <row r="74" spans="1:7" ht="19.95" customHeight="1">
      <c r="A74" s="122"/>
      <c r="B74" s="123"/>
      <c r="C74" s="124"/>
      <c r="D74" s="124"/>
      <c r="E74" s="205"/>
      <c r="F74" s="124"/>
      <c r="G74" s="125"/>
    </row>
    <row r="75" spans="1:7" ht="19.95" customHeight="1">
      <c r="A75" s="122"/>
      <c r="B75" s="123"/>
      <c r="C75" s="124"/>
      <c r="D75" s="124"/>
      <c r="E75" s="205"/>
      <c r="F75" s="124"/>
      <c r="G75" s="125"/>
    </row>
    <row r="76" spans="1:7" ht="19.95" customHeight="1">
      <c r="A76" s="122"/>
      <c r="B76" s="123"/>
      <c r="C76" s="124"/>
      <c r="D76" s="124"/>
      <c r="E76" s="205"/>
      <c r="F76" s="124"/>
      <c r="G76" s="125"/>
    </row>
    <row r="77" spans="1:7" ht="19.95" customHeight="1">
      <c r="A77" s="122"/>
      <c r="B77" s="123"/>
      <c r="C77" s="124"/>
      <c r="D77" s="124"/>
      <c r="E77" s="205"/>
      <c r="F77" s="124"/>
      <c r="G77" s="125"/>
    </row>
    <row r="78" spans="1:7" ht="19.95" customHeight="1">
      <c r="A78" s="126"/>
      <c r="B78" s="127"/>
      <c r="C78" s="128"/>
      <c r="D78" s="128"/>
      <c r="E78" s="206"/>
      <c r="F78" s="128"/>
      <c r="G78" s="129"/>
    </row>
    <row r="79" spans="1:7" ht="19.95" customHeight="1">
      <c r="A79" s="126"/>
      <c r="B79" s="127"/>
      <c r="C79" s="128"/>
      <c r="D79" s="128"/>
      <c r="E79" s="206"/>
      <c r="F79" s="128"/>
      <c r="G79" s="129"/>
    </row>
    <row r="80" spans="1:7" ht="19.95" customHeight="1">
      <c r="A80" s="126"/>
      <c r="B80" s="127"/>
      <c r="C80" s="128"/>
      <c r="D80" s="128"/>
      <c r="E80" s="206"/>
      <c r="F80" s="128"/>
      <c r="G80" s="129"/>
    </row>
    <row r="81" spans="1:7" ht="19.95" customHeight="1">
      <c r="A81" s="126"/>
      <c r="B81" s="127"/>
      <c r="C81" s="128"/>
      <c r="D81" s="128"/>
      <c r="E81" s="206"/>
      <c r="F81" s="128"/>
      <c r="G81" s="129"/>
    </row>
    <row r="82" spans="1:7" ht="19.95" customHeight="1">
      <c r="A82" s="126"/>
      <c r="B82" s="127"/>
      <c r="C82" s="128"/>
      <c r="D82" s="128"/>
      <c r="E82" s="206"/>
      <c r="F82" s="128"/>
      <c r="G82" s="129"/>
    </row>
    <row r="83" spans="1:7" ht="19.95" customHeight="1">
      <c r="A83" s="126"/>
      <c r="B83" s="127"/>
      <c r="C83" s="128"/>
      <c r="D83" s="128"/>
      <c r="E83" s="206"/>
      <c r="F83" s="128"/>
      <c r="G83" s="129"/>
    </row>
    <row r="84" spans="1:7" ht="19.95" customHeight="1">
      <c r="A84" s="126"/>
      <c r="B84" s="127"/>
      <c r="C84" s="128"/>
      <c r="D84" s="128"/>
      <c r="E84" s="206"/>
      <c r="F84" s="128"/>
      <c r="G84" s="129"/>
    </row>
    <row r="85" spans="1:7" ht="19.95" customHeight="1">
      <c r="A85" s="126"/>
      <c r="B85" s="127"/>
      <c r="C85" s="128"/>
      <c r="D85" s="128"/>
      <c r="E85" s="206"/>
      <c r="F85" s="128"/>
      <c r="G85" s="129"/>
    </row>
    <row r="86" spans="1:7" ht="19.95" customHeight="1">
      <c r="A86" s="126"/>
      <c r="B86" s="127"/>
      <c r="C86" s="128"/>
      <c r="D86" s="128"/>
      <c r="E86" s="206"/>
      <c r="F86" s="128"/>
      <c r="G86" s="129"/>
    </row>
    <row r="87" spans="1:7" ht="19.95" customHeight="1">
      <c r="A87" s="126"/>
      <c r="B87" s="127"/>
      <c r="C87" s="128"/>
      <c r="D87" s="128"/>
      <c r="E87" s="206"/>
      <c r="F87" s="128"/>
      <c r="G87" s="129"/>
    </row>
    <row r="88" spans="1:7" ht="19.95" customHeight="1">
      <c r="A88" s="126"/>
      <c r="B88" s="127"/>
      <c r="C88" s="128"/>
      <c r="D88" s="128"/>
      <c r="E88" s="206"/>
      <c r="F88" s="128"/>
      <c r="G88" s="129"/>
    </row>
    <row r="89" spans="1:7" ht="19.95" customHeight="1">
      <c r="A89" s="126"/>
      <c r="B89" s="127"/>
      <c r="C89" s="128"/>
      <c r="D89" s="128"/>
      <c r="E89" s="206"/>
      <c r="F89" s="128"/>
      <c r="G89" s="129"/>
    </row>
    <row r="90" spans="1:7" ht="19.95" customHeight="1">
      <c r="A90" s="126"/>
      <c r="B90" s="127"/>
      <c r="C90" s="128"/>
      <c r="D90" s="128"/>
      <c r="E90" s="206"/>
      <c r="F90" s="128"/>
      <c r="G90" s="129"/>
    </row>
    <row r="91" spans="1:7" ht="19.95" customHeight="1">
      <c r="A91" s="126"/>
      <c r="B91" s="127"/>
      <c r="C91" s="128"/>
      <c r="D91" s="128"/>
      <c r="E91" s="206"/>
      <c r="F91" s="128"/>
      <c r="G91" s="129"/>
    </row>
    <row r="92" spans="1:7" ht="19.95" customHeight="1">
      <c r="A92" s="126"/>
      <c r="B92" s="127"/>
      <c r="C92" s="128"/>
      <c r="D92" s="128"/>
      <c r="E92" s="206"/>
      <c r="F92" s="128"/>
      <c r="G92" s="129"/>
    </row>
    <row r="93" spans="1:7" ht="19.95" customHeight="1">
      <c r="A93" s="126"/>
      <c r="B93" s="127"/>
      <c r="C93" s="128"/>
      <c r="D93" s="128"/>
      <c r="E93" s="206"/>
      <c r="F93" s="128"/>
      <c r="G93" s="129"/>
    </row>
    <row r="94" spans="1:7" ht="19.95" customHeight="1">
      <c r="A94" s="126"/>
      <c r="B94" s="127"/>
      <c r="C94" s="128"/>
      <c r="D94" s="128"/>
      <c r="E94" s="206"/>
      <c r="F94" s="128"/>
      <c r="G94" s="129"/>
    </row>
    <row r="95" spans="1:7" ht="19.95" customHeight="1">
      <c r="A95" s="126"/>
      <c r="B95" s="127"/>
      <c r="C95" s="128"/>
      <c r="D95" s="128"/>
      <c r="E95" s="206"/>
      <c r="F95" s="128"/>
      <c r="G95" s="129"/>
    </row>
    <row r="96" spans="1:7" ht="19.95" customHeight="1">
      <c r="A96" s="126"/>
      <c r="B96" s="127"/>
      <c r="C96" s="128"/>
      <c r="D96" s="128"/>
      <c r="E96" s="206"/>
      <c r="F96" s="128"/>
      <c r="G96" s="129"/>
    </row>
    <row r="97" spans="1:7" ht="19.95" customHeight="1">
      <c r="A97" s="126"/>
      <c r="B97" s="127"/>
      <c r="C97" s="128"/>
      <c r="D97" s="128"/>
      <c r="E97" s="206"/>
      <c r="F97" s="128"/>
      <c r="G97" s="129"/>
    </row>
    <row r="98" spans="1:7" ht="19.95" customHeight="1">
      <c r="A98" s="126"/>
      <c r="B98" s="127"/>
      <c r="C98" s="128"/>
      <c r="D98" s="128"/>
      <c r="E98" s="206"/>
      <c r="F98" s="128"/>
      <c r="G98" s="129"/>
    </row>
    <row r="99" spans="1:7" ht="19.95" customHeight="1">
      <c r="A99" s="126"/>
      <c r="B99" s="127"/>
      <c r="C99" s="128"/>
      <c r="D99" s="128"/>
      <c r="E99" s="206"/>
      <c r="F99" s="128"/>
      <c r="G99" s="129"/>
    </row>
    <row r="100" spans="1:7" ht="19.95" customHeight="1">
      <c r="A100" s="126"/>
      <c r="B100" s="127"/>
      <c r="C100" s="128"/>
      <c r="D100" s="128"/>
      <c r="E100" s="206"/>
      <c r="F100" s="128"/>
      <c r="G100" s="129"/>
    </row>
    <row r="101" spans="1:7" ht="19.95" customHeight="1">
      <c r="A101" s="126"/>
      <c r="B101" s="127"/>
      <c r="C101" s="128"/>
      <c r="D101" s="128"/>
      <c r="E101" s="206"/>
      <c r="F101" s="128"/>
      <c r="G101" s="129"/>
    </row>
    <row r="102" spans="1:7" ht="19.95" customHeight="1">
      <c r="A102" s="126"/>
      <c r="B102" s="127"/>
      <c r="C102" s="128"/>
      <c r="D102" s="128"/>
      <c r="E102" s="206"/>
      <c r="F102" s="128"/>
      <c r="G102" s="129"/>
    </row>
    <row r="103" spans="1:7" ht="19.95" customHeight="1">
      <c r="A103" s="126"/>
      <c r="B103" s="127"/>
      <c r="C103" s="128"/>
      <c r="D103" s="128"/>
      <c r="E103" s="206"/>
      <c r="F103" s="128"/>
      <c r="G103" s="129"/>
    </row>
    <row r="104" spans="1:7" ht="19.95" customHeight="1">
      <c r="A104" s="126"/>
      <c r="B104" s="127"/>
      <c r="C104" s="128"/>
      <c r="D104" s="128"/>
      <c r="E104" s="206"/>
      <c r="F104" s="128"/>
      <c r="G104" s="129"/>
    </row>
    <row r="105" spans="1:7" ht="19.95" customHeight="1">
      <c r="A105" s="126"/>
      <c r="B105" s="127"/>
      <c r="C105" s="128"/>
      <c r="D105" s="128"/>
      <c r="E105" s="206"/>
      <c r="F105" s="128"/>
      <c r="G105" s="129"/>
    </row>
    <row r="106" spans="1:7" ht="19.95" customHeight="1">
      <c r="A106" s="126"/>
      <c r="B106" s="127"/>
      <c r="C106" s="128"/>
      <c r="D106" s="128"/>
      <c r="E106" s="206"/>
      <c r="F106" s="128"/>
      <c r="G106" s="129"/>
    </row>
    <row r="107" spans="1:7" ht="19.95" customHeight="1">
      <c r="A107" s="126"/>
      <c r="B107" s="127"/>
      <c r="C107" s="128"/>
      <c r="D107" s="128"/>
      <c r="E107" s="206"/>
      <c r="F107" s="128"/>
      <c r="G107" s="129"/>
    </row>
    <row r="108" spans="1:7" ht="19.95" customHeight="1">
      <c r="A108" s="126"/>
      <c r="B108" s="127"/>
      <c r="C108" s="128"/>
      <c r="D108" s="128"/>
      <c r="E108" s="206"/>
      <c r="F108" s="128"/>
      <c r="G108" s="129"/>
    </row>
    <row r="109" spans="1:7" ht="19.95" customHeight="1">
      <c r="A109" s="126"/>
      <c r="B109" s="127"/>
      <c r="C109" s="128"/>
      <c r="D109" s="128"/>
      <c r="E109" s="206"/>
      <c r="F109" s="128"/>
      <c r="G109" s="129"/>
    </row>
    <row r="110" spans="1:7" ht="19.95" customHeight="1">
      <c r="A110" s="126"/>
      <c r="B110" s="127"/>
      <c r="C110" s="128"/>
      <c r="D110" s="128"/>
      <c r="E110" s="206"/>
      <c r="F110" s="128"/>
      <c r="G110" s="129"/>
    </row>
    <row r="111" spans="1:7" ht="19.95" customHeight="1">
      <c r="A111" s="126"/>
      <c r="B111" s="127"/>
      <c r="C111" s="128"/>
      <c r="D111" s="128"/>
      <c r="E111" s="206"/>
      <c r="F111" s="128"/>
      <c r="G111" s="129"/>
    </row>
    <row r="112" spans="1:7" ht="19.95" customHeight="1">
      <c r="A112" s="126"/>
      <c r="B112" s="127"/>
      <c r="C112" s="128"/>
      <c r="D112" s="128"/>
      <c r="E112" s="206"/>
      <c r="F112" s="128"/>
      <c r="G112" s="129"/>
    </row>
    <row r="113" spans="1:7" ht="19.95" customHeight="1">
      <c r="A113" s="126"/>
      <c r="B113" s="127"/>
      <c r="C113" s="128"/>
      <c r="D113" s="128"/>
      <c r="E113" s="206"/>
      <c r="F113" s="128"/>
      <c r="G113" s="129"/>
    </row>
    <row r="114" spans="1:7" ht="19.95" customHeight="1">
      <c r="A114" s="126"/>
      <c r="B114" s="127"/>
      <c r="C114" s="128"/>
      <c r="D114" s="128"/>
      <c r="E114" s="206"/>
      <c r="F114" s="128"/>
      <c r="G114" s="129"/>
    </row>
    <row r="115" spans="1:7" ht="19.95" customHeight="1">
      <c r="A115" s="126"/>
      <c r="B115" s="127"/>
      <c r="C115" s="128"/>
      <c r="D115" s="128"/>
      <c r="E115" s="206"/>
      <c r="F115" s="128"/>
      <c r="G115" s="129"/>
    </row>
    <row r="116" spans="1:7" ht="19.95" customHeight="1">
      <c r="A116" s="126"/>
      <c r="B116" s="127"/>
      <c r="C116" s="128"/>
      <c r="D116" s="128"/>
      <c r="E116" s="206"/>
      <c r="F116" s="128"/>
      <c r="G116" s="129"/>
    </row>
    <row r="117" spans="1:7" ht="19.95" customHeight="1">
      <c r="A117" s="126"/>
      <c r="B117" s="127"/>
      <c r="C117" s="128"/>
      <c r="D117" s="128"/>
      <c r="E117" s="206"/>
      <c r="F117" s="128"/>
      <c r="G117" s="129"/>
    </row>
    <row r="118" spans="1:7" ht="19.95" customHeight="1">
      <c r="A118" s="126"/>
      <c r="B118" s="127"/>
      <c r="C118" s="128"/>
      <c r="D118" s="128"/>
      <c r="E118" s="206"/>
      <c r="F118" s="128"/>
      <c r="G118" s="129"/>
    </row>
    <row r="119" spans="1:7" ht="19.95" customHeight="1">
      <c r="A119" s="126"/>
      <c r="B119" s="127"/>
      <c r="C119" s="128"/>
      <c r="D119" s="128"/>
      <c r="E119" s="206"/>
      <c r="F119" s="128"/>
      <c r="G119" s="129"/>
    </row>
    <row r="120" spans="1:7" ht="19.95" customHeight="1">
      <c r="A120" s="130"/>
      <c r="B120" s="131"/>
      <c r="C120" s="132"/>
      <c r="D120" s="132"/>
      <c r="E120" s="207"/>
      <c r="F120" s="132"/>
      <c r="G120" s="133"/>
    </row>
    <row r="121" spans="1:7" ht="19.95" customHeight="1">
      <c r="A121" s="130"/>
      <c r="B121" s="131"/>
      <c r="C121" s="132"/>
      <c r="D121" s="132"/>
      <c r="E121" s="207"/>
      <c r="F121" s="132"/>
      <c r="G121" s="133"/>
    </row>
    <row r="122" spans="1:7" ht="19.95" customHeight="1">
      <c r="A122" s="130"/>
      <c r="B122" s="131"/>
      <c r="C122" s="132"/>
      <c r="D122" s="132"/>
      <c r="E122" s="207"/>
      <c r="F122" s="132"/>
      <c r="G122" s="133"/>
    </row>
    <row r="123" spans="1:7" ht="19.95" customHeight="1">
      <c r="A123" s="130"/>
      <c r="B123" s="131"/>
      <c r="C123" s="132"/>
      <c r="D123" s="132"/>
      <c r="E123" s="207"/>
      <c r="F123" s="132"/>
      <c r="G123" s="133"/>
    </row>
    <row r="124" spans="1:7" ht="19.95" customHeight="1">
      <c r="A124" s="130"/>
      <c r="B124" s="131"/>
      <c r="C124" s="132"/>
      <c r="D124" s="132"/>
      <c r="E124" s="207"/>
      <c r="F124" s="132"/>
      <c r="G124" s="133"/>
    </row>
    <row r="125" spans="1:7" ht="19.95" customHeight="1">
      <c r="A125" s="130"/>
      <c r="B125" s="131"/>
      <c r="C125" s="132"/>
      <c r="D125" s="132"/>
      <c r="E125" s="207"/>
      <c r="F125" s="132"/>
      <c r="G125" s="133"/>
    </row>
    <row r="126" spans="1:7" ht="19.95" customHeight="1">
      <c r="A126" s="130"/>
      <c r="B126" s="131"/>
      <c r="C126" s="132"/>
      <c r="D126" s="132"/>
      <c r="E126" s="207"/>
      <c r="F126" s="132"/>
      <c r="G126" s="133"/>
    </row>
    <row r="127" spans="1:7" ht="19.95" customHeight="1">
      <c r="A127" s="130"/>
      <c r="B127" s="131"/>
      <c r="C127" s="132"/>
      <c r="D127" s="132"/>
      <c r="E127" s="207"/>
      <c r="F127" s="132"/>
      <c r="G127" s="133"/>
    </row>
    <row r="128" spans="1:7" ht="19.95" customHeight="1">
      <c r="A128" s="130"/>
      <c r="B128" s="131"/>
      <c r="C128" s="132"/>
      <c r="D128" s="132"/>
      <c r="E128" s="207"/>
      <c r="F128" s="132"/>
      <c r="G128" s="133"/>
    </row>
    <row r="129" spans="1:7" ht="19.95" customHeight="1">
      <c r="A129" s="130"/>
      <c r="B129" s="131"/>
      <c r="C129" s="132"/>
      <c r="D129" s="132"/>
      <c r="E129" s="207"/>
      <c r="F129" s="132"/>
      <c r="G129" s="133"/>
    </row>
    <row r="130" spans="1:7" ht="19.95" customHeight="1">
      <c r="A130" s="130"/>
      <c r="B130" s="131"/>
      <c r="C130" s="132"/>
      <c r="D130" s="132"/>
      <c r="E130" s="207"/>
      <c r="F130" s="132"/>
      <c r="G130" s="133"/>
    </row>
    <row r="131" spans="1:7" ht="19.95" customHeight="1">
      <c r="A131" s="130"/>
      <c r="B131" s="131"/>
      <c r="C131" s="132"/>
      <c r="D131" s="132"/>
      <c r="E131" s="207"/>
      <c r="F131" s="132"/>
      <c r="G131" s="133"/>
    </row>
    <row r="132" spans="1:7" ht="19.95" customHeight="1">
      <c r="A132" s="130"/>
      <c r="B132" s="131"/>
      <c r="C132" s="132"/>
      <c r="D132" s="132"/>
      <c r="E132" s="207"/>
      <c r="F132" s="132"/>
      <c r="G132" s="133"/>
    </row>
    <row r="133" spans="1:7" ht="19.95" customHeight="1">
      <c r="A133" s="130"/>
      <c r="B133" s="131"/>
      <c r="C133" s="132"/>
      <c r="D133" s="132"/>
      <c r="E133" s="207"/>
      <c r="F133" s="132"/>
      <c r="G133" s="133"/>
    </row>
    <row r="134" spans="1:7" ht="19.95" customHeight="1">
      <c r="A134" s="130"/>
      <c r="B134" s="131"/>
      <c r="C134" s="132"/>
      <c r="D134" s="132"/>
      <c r="E134" s="207"/>
      <c r="F134" s="132"/>
      <c r="G134" s="133"/>
    </row>
    <row r="135" spans="1:7" ht="19.95" customHeight="1">
      <c r="A135" s="130"/>
      <c r="B135" s="131"/>
      <c r="C135" s="132"/>
      <c r="D135" s="132"/>
      <c r="E135" s="207"/>
      <c r="F135" s="132"/>
      <c r="G135" s="133"/>
    </row>
    <row r="136" spans="1:7" ht="19.95" customHeight="1">
      <c r="A136" s="130"/>
      <c r="B136" s="131"/>
      <c r="C136" s="132"/>
      <c r="D136" s="132"/>
      <c r="E136" s="207"/>
      <c r="F136" s="132"/>
      <c r="G136" s="133"/>
    </row>
    <row r="137" spans="1:7" ht="19.95" customHeight="1">
      <c r="A137" s="130"/>
      <c r="B137" s="131"/>
      <c r="C137" s="132"/>
      <c r="D137" s="132"/>
      <c r="E137" s="207"/>
      <c r="F137" s="132"/>
      <c r="G137" s="133"/>
    </row>
    <row r="138" spans="1:7" ht="19.95" customHeight="1">
      <c r="A138" s="130"/>
      <c r="B138" s="131"/>
      <c r="C138" s="132"/>
      <c r="D138" s="132"/>
      <c r="E138" s="207"/>
      <c r="F138" s="132"/>
      <c r="G138" s="133"/>
    </row>
    <row r="139" spans="1:7" ht="19.95" customHeight="1">
      <c r="A139" s="130"/>
      <c r="B139" s="131"/>
      <c r="C139" s="132"/>
      <c r="D139" s="132"/>
      <c r="E139" s="207"/>
      <c r="F139" s="132"/>
      <c r="G139" s="133"/>
    </row>
    <row r="140" spans="1:7" ht="19.95" customHeight="1">
      <c r="A140" s="130"/>
      <c r="B140" s="131"/>
      <c r="C140" s="132"/>
      <c r="D140" s="132"/>
      <c r="E140" s="207"/>
      <c r="F140" s="132"/>
      <c r="G140" s="133"/>
    </row>
    <row r="141" spans="1:7" ht="19.95" customHeight="1">
      <c r="A141" s="130"/>
      <c r="B141" s="131"/>
      <c r="C141" s="132"/>
      <c r="D141" s="132"/>
      <c r="E141" s="207"/>
      <c r="F141" s="132"/>
      <c r="G141" s="133"/>
    </row>
    <row r="142" spans="1:7" ht="19.95" customHeight="1">
      <c r="A142" s="130"/>
      <c r="B142" s="131"/>
      <c r="C142" s="132"/>
      <c r="D142" s="132"/>
      <c r="E142" s="207"/>
      <c r="F142" s="132"/>
      <c r="G142" s="133"/>
    </row>
    <row r="143" spans="1:7" ht="19.95" customHeight="1">
      <c r="A143" s="130"/>
      <c r="B143" s="131"/>
      <c r="C143" s="132"/>
      <c r="D143" s="132"/>
      <c r="E143" s="207"/>
      <c r="F143" s="132"/>
      <c r="G143" s="133"/>
    </row>
    <row r="144" spans="1:7" ht="19.95" customHeight="1">
      <c r="A144" s="130"/>
      <c r="B144" s="131"/>
      <c r="C144" s="132"/>
      <c r="D144" s="132"/>
      <c r="E144" s="207"/>
      <c r="F144" s="132"/>
      <c r="G144" s="133"/>
    </row>
    <row r="145" spans="1:7" ht="19.95" customHeight="1">
      <c r="A145" s="130"/>
      <c r="B145" s="131"/>
      <c r="C145" s="132"/>
      <c r="D145" s="132"/>
      <c r="E145" s="207"/>
      <c r="F145" s="132"/>
      <c r="G145" s="133"/>
    </row>
    <row r="146" spans="1:7" ht="19.95" customHeight="1">
      <c r="A146" s="130"/>
      <c r="B146" s="131"/>
      <c r="C146" s="132"/>
      <c r="D146" s="132"/>
      <c r="E146" s="207"/>
      <c r="F146" s="132"/>
      <c r="G146" s="133"/>
    </row>
    <row r="147" spans="1:7" ht="19.95" customHeight="1">
      <c r="A147" s="130"/>
      <c r="B147" s="131"/>
      <c r="C147" s="132"/>
      <c r="D147" s="132"/>
      <c r="E147" s="207"/>
      <c r="F147" s="132"/>
      <c r="G147" s="133"/>
    </row>
    <row r="148" spans="1:7" ht="19.95" customHeight="1">
      <c r="A148" s="130"/>
      <c r="B148" s="131"/>
      <c r="C148" s="132"/>
      <c r="D148" s="132"/>
      <c r="E148" s="207"/>
      <c r="F148" s="132"/>
      <c r="G148" s="133"/>
    </row>
    <row r="149" spans="1:7" ht="19.95" customHeight="1">
      <c r="A149" s="130"/>
      <c r="B149" s="131"/>
      <c r="C149" s="132"/>
      <c r="D149" s="132"/>
      <c r="E149" s="207"/>
      <c r="F149" s="132"/>
      <c r="G149" s="133"/>
    </row>
    <row r="150" spans="1:7" ht="19.95" customHeight="1">
      <c r="A150" s="130"/>
      <c r="B150" s="131"/>
      <c r="C150" s="132"/>
      <c r="D150" s="132"/>
      <c r="E150" s="207"/>
      <c r="F150" s="132"/>
      <c r="G150" s="133"/>
    </row>
    <row r="151" spans="1:7" ht="19.95" customHeight="1">
      <c r="A151" s="130"/>
      <c r="B151" s="131"/>
      <c r="C151" s="132"/>
      <c r="D151" s="132"/>
      <c r="E151" s="207"/>
      <c r="F151" s="132"/>
      <c r="G151" s="133"/>
    </row>
    <row r="152" spans="1:7" ht="19.95" customHeight="1">
      <c r="A152" s="130"/>
      <c r="B152" s="131"/>
      <c r="C152" s="132"/>
      <c r="D152" s="132"/>
      <c r="E152" s="207"/>
      <c r="F152" s="132"/>
      <c r="G152" s="133"/>
    </row>
    <row r="153" spans="1:7" ht="19.95" customHeight="1">
      <c r="A153" s="130"/>
      <c r="B153" s="131"/>
      <c r="C153" s="132"/>
      <c r="D153" s="132"/>
      <c r="E153" s="207"/>
      <c r="F153" s="132"/>
      <c r="G153" s="133"/>
    </row>
    <row r="154" spans="1:7" ht="19.95" customHeight="1">
      <c r="A154" s="130"/>
      <c r="B154" s="131"/>
      <c r="C154" s="132"/>
      <c r="D154" s="132"/>
      <c r="E154" s="207"/>
      <c r="F154" s="132"/>
      <c r="G154" s="133"/>
    </row>
    <row r="155" spans="1:7" ht="19.95" customHeight="1">
      <c r="A155" s="130"/>
      <c r="B155" s="131"/>
      <c r="C155" s="132"/>
      <c r="D155" s="132"/>
      <c r="E155" s="207"/>
      <c r="F155" s="132"/>
      <c r="G155" s="133"/>
    </row>
    <row r="156" spans="1:7" ht="19.95" customHeight="1">
      <c r="A156" s="130"/>
      <c r="B156" s="131"/>
      <c r="C156" s="132"/>
      <c r="D156" s="132"/>
      <c r="E156" s="207"/>
      <c r="F156" s="132"/>
      <c r="G156" s="133"/>
    </row>
    <row r="157" spans="1:7" ht="19.95" customHeight="1">
      <c r="A157" s="130"/>
      <c r="B157" s="131"/>
      <c r="C157" s="132"/>
      <c r="D157" s="132"/>
      <c r="E157" s="207"/>
      <c r="F157" s="132"/>
      <c r="G157" s="133"/>
    </row>
    <row r="158" spans="1:7" ht="19.95" customHeight="1">
      <c r="A158" s="130"/>
      <c r="B158" s="131"/>
      <c r="C158" s="132"/>
      <c r="D158" s="132"/>
      <c r="E158" s="207"/>
      <c r="F158" s="132"/>
      <c r="G158" s="133"/>
    </row>
    <row r="159" spans="1:7" ht="19.95" customHeight="1">
      <c r="A159" s="130"/>
      <c r="B159" s="131"/>
      <c r="C159" s="132"/>
      <c r="D159" s="132"/>
      <c r="E159" s="207"/>
      <c r="F159" s="132"/>
      <c r="G159" s="133"/>
    </row>
    <row r="160" spans="1:7" ht="19.95" customHeight="1">
      <c r="A160" s="130"/>
      <c r="B160" s="131"/>
      <c r="C160" s="132"/>
      <c r="D160" s="132"/>
      <c r="E160" s="207"/>
      <c r="F160" s="132"/>
      <c r="G160" s="133"/>
    </row>
    <row r="161" spans="1:7" ht="19.95" customHeight="1">
      <c r="A161" s="130"/>
      <c r="B161" s="131"/>
      <c r="C161" s="132"/>
      <c r="D161" s="132"/>
      <c r="E161" s="207"/>
      <c r="F161" s="132"/>
      <c r="G161" s="133"/>
    </row>
    <row r="162" spans="1:7" ht="19.95" customHeight="1">
      <c r="A162" s="134"/>
      <c r="B162" s="135"/>
      <c r="C162" s="136"/>
      <c r="D162" s="136"/>
      <c r="E162" s="208"/>
      <c r="F162" s="136"/>
      <c r="G162" s="137"/>
    </row>
    <row r="163" spans="1:7" ht="19.95" customHeight="1">
      <c r="A163" s="134"/>
      <c r="B163" s="135"/>
      <c r="C163" s="136"/>
      <c r="D163" s="136"/>
      <c r="E163" s="208"/>
      <c r="F163" s="136"/>
      <c r="G163" s="137"/>
    </row>
    <row r="164" spans="1:7" ht="19.95" customHeight="1">
      <c r="A164" s="134"/>
      <c r="B164" s="135"/>
      <c r="C164" s="136"/>
      <c r="D164" s="136"/>
      <c r="E164" s="208"/>
      <c r="F164" s="136"/>
      <c r="G164" s="137"/>
    </row>
    <row r="165" spans="1:7" ht="19.95" customHeight="1">
      <c r="A165" s="134"/>
      <c r="B165" s="135"/>
      <c r="C165" s="136"/>
      <c r="D165" s="136"/>
      <c r="E165" s="208"/>
      <c r="F165" s="136"/>
      <c r="G165" s="137"/>
    </row>
    <row r="166" spans="1:7" ht="19.95" customHeight="1">
      <c r="A166" s="134"/>
      <c r="B166" s="135"/>
      <c r="C166" s="136"/>
      <c r="D166" s="136"/>
      <c r="E166" s="208"/>
      <c r="F166" s="136"/>
      <c r="G166" s="137"/>
    </row>
    <row r="167" spans="1:7" ht="19.95" customHeight="1">
      <c r="A167" s="134"/>
      <c r="B167" s="135"/>
      <c r="C167" s="136"/>
      <c r="D167" s="136"/>
      <c r="E167" s="208"/>
      <c r="F167" s="136"/>
      <c r="G167" s="137"/>
    </row>
    <row r="168" spans="1:7" ht="19.95" customHeight="1">
      <c r="A168" s="134"/>
      <c r="B168" s="135"/>
      <c r="C168" s="136"/>
      <c r="D168" s="136"/>
      <c r="E168" s="208"/>
      <c r="F168" s="136"/>
      <c r="G168" s="137"/>
    </row>
    <row r="169" spans="1:7" ht="19.95" customHeight="1">
      <c r="A169" s="134"/>
      <c r="B169" s="135"/>
      <c r="C169" s="136"/>
      <c r="D169" s="136"/>
      <c r="E169" s="208"/>
      <c r="F169" s="136"/>
      <c r="G169" s="137"/>
    </row>
    <row r="170" spans="1:7" ht="19.95" customHeight="1">
      <c r="A170" s="134"/>
      <c r="B170" s="135"/>
      <c r="C170" s="136"/>
      <c r="D170" s="136"/>
      <c r="E170" s="208"/>
      <c r="F170" s="136"/>
      <c r="G170" s="137"/>
    </row>
    <row r="171" spans="1:7" ht="19.95" customHeight="1">
      <c r="A171" s="134"/>
      <c r="B171" s="135"/>
      <c r="C171" s="136"/>
      <c r="D171" s="136"/>
      <c r="E171" s="208"/>
      <c r="F171" s="136"/>
      <c r="G171" s="137"/>
    </row>
    <row r="172" spans="1:7" ht="19.95" customHeight="1">
      <c r="A172" s="134"/>
      <c r="B172" s="135"/>
      <c r="C172" s="136"/>
      <c r="D172" s="136"/>
      <c r="E172" s="208"/>
      <c r="F172" s="136"/>
      <c r="G172" s="137"/>
    </row>
    <row r="173" spans="1:7" ht="19.95" customHeight="1">
      <c r="A173" s="134"/>
      <c r="B173" s="135"/>
      <c r="C173" s="136"/>
      <c r="D173" s="136"/>
      <c r="E173" s="208"/>
      <c r="F173" s="136"/>
      <c r="G173" s="137"/>
    </row>
    <row r="174" spans="1:7" ht="19.95" customHeight="1">
      <c r="A174" s="134"/>
      <c r="B174" s="135"/>
      <c r="C174" s="136"/>
      <c r="D174" s="136"/>
      <c r="E174" s="208"/>
      <c r="F174" s="136"/>
      <c r="G174" s="137"/>
    </row>
    <row r="175" spans="1:7" ht="19.95" customHeight="1">
      <c r="A175" s="134"/>
      <c r="B175" s="135"/>
      <c r="C175" s="136"/>
      <c r="D175" s="136"/>
      <c r="E175" s="208"/>
      <c r="F175" s="136"/>
      <c r="G175" s="137"/>
    </row>
    <row r="176" spans="1:7" ht="19.95" customHeight="1">
      <c r="A176" s="134"/>
      <c r="B176" s="135"/>
      <c r="C176" s="136"/>
      <c r="D176" s="136"/>
      <c r="E176" s="208"/>
      <c r="F176" s="136"/>
      <c r="G176" s="137"/>
    </row>
    <row r="177" spans="1:7" ht="19.95" customHeight="1">
      <c r="A177" s="134"/>
      <c r="B177" s="135"/>
      <c r="C177" s="136"/>
      <c r="D177" s="136"/>
      <c r="E177" s="208"/>
      <c r="F177" s="136"/>
      <c r="G177" s="137"/>
    </row>
    <row r="178" spans="1:7" ht="19.95" customHeight="1">
      <c r="A178" s="134"/>
      <c r="B178" s="135"/>
      <c r="C178" s="136"/>
      <c r="D178" s="136"/>
      <c r="E178" s="208"/>
      <c r="F178" s="136"/>
      <c r="G178" s="137"/>
    </row>
    <row r="179" spans="1:7" ht="19.95" customHeight="1">
      <c r="A179" s="134"/>
      <c r="B179" s="135"/>
      <c r="C179" s="136"/>
      <c r="D179" s="136"/>
      <c r="E179" s="208"/>
      <c r="F179" s="136"/>
      <c r="G179" s="137"/>
    </row>
    <row r="180" spans="1:7" ht="19.95" customHeight="1">
      <c r="A180" s="134"/>
      <c r="B180" s="135"/>
      <c r="C180" s="136"/>
      <c r="D180" s="136"/>
      <c r="E180" s="208"/>
      <c r="F180" s="136"/>
      <c r="G180" s="137"/>
    </row>
    <row r="181" spans="1:7" ht="19.95" customHeight="1">
      <c r="A181" s="134"/>
      <c r="B181" s="135"/>
      <c r="C181" s="136"/>
      <c r="D181" s="136"/>
      <c r="E181" s="208"/>
      <c r="F181" s="136"/>
      <c r="G181" s="137"/>
    </row>
    <row r="182" spans="1:7" ht="19.95" customHeight="1">
      <c r="A182" s="134"/>
      <c r="B182" s="135"/>
      <c r="C182" s="136"/>
      <c r="D182" s="136"/>
      <c r="E182" s="208"/>
      <c r="F182" s="136"/>
      <c r="G182" s="137"/>
    </row>
    <row r="183" spans="1:7" ht="19.95" customHeight="1">
      <c r="A183" s="134"/>
      <c r="B183" s="135"/>
      <c r="C183" s="136"/>
      <c r="D183" s="136"/>
      <c r="E183" s="208"/>
      <c r="F183" s="136"/>
      <c r="G183" s="137"/>
    </row>
    <row r="184" spans="1:7" ht="19.95" customHeight="1">
      <c r="A184" s="134"/>
      <c r="B184" s="135"/>
      <c r="C184" s="136"/>
      <c r="D184" s="136"/>
      <c r="E184" s="208"/>
      <c r="F184" s="136"/>
      <c r="G184" s="137"/>
    </row>
    <row r="185" spans="1:7" ht="19.95" customHeight="1">
      <c r="A185" s="134"/>
      <c r="B185" s="135"/>
      <c r="C185" s="136"/>
      <c r="D185" s="136"/>
      <c r="E185" s="208"/>
      <c r="F185" s="136"/>
      <c r="G185" s="137"/>
    </row>
    <row r="186" spans="1:7" ht="19.95" customHeight="1">
      <c r="A186" s="134"/>
      <c r="B186" s="135"/>
      <c r="C186" s="136"/>
      <c r="D186" s="136"/>
      <c r="E186" s="208"/>
      <c r="F186" s="136"/>
      <c r="G186" s="137"/>
    </row>
    <row r="187" spans="1:7" ht="19.95" customHeight="1">
      <c r="A187" s="134"/>
      <c r="B187" s="135"/>
      <c r="C187" s="136"/>
      <c r="D187" s="136"/>
      <c r="E187" s="208"/>
      <c r="F187" s="136"/>
      <c r="G187" s="137"/>
    </row>
    <row r="188" spans="1:7" ht="19.95" customHeight="1">
      <c r="A188" s="134"/>
      <c r="B188" s="135"/>
      <c r="C188" s="136"/>
      <c r="D188" s="136"/>
      <c r="E188" s="208"/>
      <c r="F188" s="136"/>
      <c r="G188" s="137"/>
    </row>
    <row r="189" spans="1:7" ht="19.95" customHeight="1">
      <c r="A189" s="134"/>
      <c r="B189" s="135"/>
      <c r="C189" s="136"/>
      <c r="D189" s="136"/>
      <c r="E189" s="208"/>
      <c r="F189" s="136"/>
      <c r="G189" s="137"/>
    </row>
    <row r="190" spans="1:7" ht="19.95" customHeight="1">
      <c r="A190" s="134"/>
      <c r="B190" s="135"/>
      <c r="C190" s="136"/>
      <c r="D190" s="136"/>
      <c r="E190" s="208"/>
      <c r="F190" s="136"/>
      <c r="G190" s="137"/>
    </row>
    <row r="191" spans="1:7" ht="19.95" customHeight="1">
      <c r="A191" s="134"/>
      <c r="B191" s="135"/>
      <c r="C191" s="136"/>
      <c r="D191" s="136"/>
      <c r="E191" s="208"/>
      <c r="F191" s="136"/>
      <c r="G191" s="137"/>
    </row>
    <row r="192" spans="1:7" ht="19.95" customHeight="1">
      <c r="A192" s="134"/>
      <c r="B192" s="135"/>
      <c r="C192" s="136"/>
      <c r="D192" s="136"/>
      <c r="E192" s="208"/>
      <c r="F192" s="136"/>
      <c r="G192" s="137"/>
    </row>
    <row r="193" spans="1:7" ht="19.95" customHeight="1">
      <c r="A193" s="134"/>
      <c r="B193" s="135"/>
      <c r="C193" s="136"/>
      <c r="D193" s="136"/>
      <c r="E193" s="208"/>
      <c r="F193" s="136"/>
      <c r="G193" s="137"/>
    </row>
    <row r="194" spans="1:7" ht="19.95" customHeight="1">
      <c r="A194" s="134"/>
      <c r="B194" s="135"/>
      <c r="C194" s="136"/>
      <c r="D194" s="136"/>
      <c r="E194" s="208"/>
      <c r="F194" s="136"/>
      <c r="G194" s="137"/>
    </row>
    <row r="195" spans="1:7" ht="19.95" customHeight="1">
      <c r="A195" s="134"/>
      <c r="B195" s="135"/>
      <c r="C195" s="136"/>
      <c r="D195" s="136"/>
      <c r="E195" s="208"/>
      <c r="F195" s="136"/>
      <c r="G195" s="137"/>
    </row>
    <row r="196" spans="1:7" ht="19.95" customHeight="1">
      <c r="A196" s="134"/>
      <c r="B196" s="135"/>
      <c r="C196" s="136"/>
      <c r="D196" s="136"/>
      <c r="E196" s="208"/>
      <c r="F196" s="136"/>
      <c r="G196" s="137"/>
    </row>
    <row r="197" spans="1:7" ht="19.95" customHeight="1">
      <c r="A197" s="134"/>
      <c r="B197" s="135"/>
      <c r="C197" s="136"/>
      <c r="D197" s="136"/>
      <c r="E197" s="208"/>
      <c r="F197" s="136"/>
      <c r="G197" s="137"/>
    </row>
    <row r="198" spans="1:7" ht="19.95" customHeight="1">
      <c r="A198" s="134"/>
      <c r="B198" s="135"/>
      <c r="C198" s="136"/>
      <c r="D198" s="136"/>
      <c r="E198" s="208"/>
      <c r="F198" s="136"/>
      <c r="G198" s="137"/>
    </row>
    <row r="199" spans="1:7" ht="19.95" customHeight="1">
      <c r="A199" s="134"/>
      <c r="B199" s="135"/>
      <c r="C199" s="136"/>
      <c r="D199" s="136"/>
      <c r="E199" s="208"/>
      <c r="F199" s="136"/>
      <c r="G199" s="137"/>
    </row>
    <row r="200" spans="1:7" ht="19.95" customHeight="1">
      <c r="A200" s="134"/>
      <c r="B200" s="135"/>
      <c r="C200" s="136"/>
      <c r="D200" s="136"/>
      <c r="E200" s="208"/>
      <c r="F200" s="136"/>
      <c r="G200" s="137"/>
    </row>
    <row r="201" spans="1:7" ht="19.95" customHeight="1">
      <c r="A201" s="134"/>
      <c r="B201" s="135"/>
      <c r="C201" s="136"/>
      <c r="D201" s="136"/>
      <c r="E201" s="208"/>
      <c r="F201" s="136"/>
      <c r="G201" s="137"/>
    </row>
    <row r="202" spans="1:7" ht="19.95" customHeight="1">
      <c r="A202" s="134"/>
      <c r="B202" s="135"/>
      <c r="C202" s="136"/>
      <c r="D202" s="136"/>
      <c r="E202" s="208"/>
      <c r="F202" s="136"/>
      <c r="G202" s="137"/>
    </row>
    <row r="203" spans="1:7" ht="19.95" customHeight="1">
      <c r="A203" s="134"/>
      <c r="B203" s="135"/>
      <c r="C203" s="136"/>
      <c r="D203" s="136"/>
      <c r="E203" s="208"/>
      <c r="F203" s="136"/>
      <c r="G203" s="137"/>
    </row>
    <row r="204" spans="1:7" ht="19.95" customHeight="1">
      <c r="A204" s="138"/>
      <c r="B204" s="139"/>
      <c r="C204" s="140"/>
      <c r="D204" s="140"/>
      <c r="E204" s="209"/>
      <c r="F204" s="140"/>
      <c r="G204" s="141"/>
    </row>
    <row r="205" spans="1:7" ht="19.95" customHeight="1">
      <c r="A205" s="138"/>
      <c r="B205" s="139"/>
      <c r="C205" s="140"/>
      <c r="D205" s="140"/>
      <c r="E205" s="209"/>
      <c r="F205" s="140"/>
      <c r="G205" s="141"/>
    </row>
    <row r="206" spans="1:7" ht="19.95" customHeight="1">
      <c r="A206" s="138"/>
      <c r="B206" s="139"/>
      <c r="C206" s="140"/>
      <c r="D206" s="140"/>
      <c r="E206" s="209"/>
      <c r="F206" s="140"/>
      <c r="G206" s="141"/>
    </row>
    <row r="207" spans="1:7" ht="19.95" customHeight="1">
      <c r="A207" s="138"/>
      <c r="B207" s="139"/>
      <c r="C207" s="140"/>
      <c r="D207" s="140"/>
      <c r="E207" s="209"/>
      <c r="F207" s="140"/>
      <c r="G207" s="141"/>
    </row>
    <row r="208" spans="1:7" ht="19.95" customHeight="1">
      <c r="A208" s="138"/>
      <c r="B208" s="139"/>
      <c r="C208" s="140"/>
      <c r="D208" s="140"/>
      <c r="E208" s="209"/>
      <c r="F208" s="140"/>
      <c r="G208" s="141"/>
    </row>
    <row r="209" spans="1:7" ht="19.95" customHeight="1">
      <c r="A209" s="138"/>
      <c r="B209" s="139"/>
      <c r="C209" s="140"/>
      <c r="D209" s="140"/>
      <c r="E209" s="209"/>
      <c r="F209" s="140"/>
      <c r="G209" s="141"/>
    </row>
    <row r="210" spans="1:7" ht="19.95" customHeight="1">
      <c r="A210" s="138"/>
      <c r="B210" s="139"/>
      <c r="C210" s="140"/>
      <c r="D210" s="140"/>
      <c r="E210" s="209"/>
      <c r="F210" s="140"/>
      <c r="G210" s="141"/>
    </row>
    <row r="211" spans="1:7" ht="19.95" customHeight="1">
      <c r="A211" s="138"/>
      <c r="B211" s="139"/>
      <c r="C211" s="140"/>
      <c r="D211" s="140"/>
      <c r="E211" s="209"/>
      <c r="F211" s="140"/>
      <c r="G211" s="141"/>
    </row>
    <row r="212" spans="1:7" ht="19.95" customHeight="1">
      <c r="A212" s="138"/>
      <c r="B212" s="139"/>
      <c r="C212" s="140"/>
      <c r="D212" s="140"/>
      <c r="E212" s="209"/>
      <c r="F212" s="140"/>
      <c r="G212" s="141"/>
    </row>
    <row r="213" spans="1:7" ht="19.95" customHeight="1">
      <c r="A213" s="138"/>
      <c r="B213" s="139"/>
      <c r="C213" s="140"/>
      <c r="D213" s="140"/>
      <c r="E213" s="209"/>
      <c r="F213" s="140"/>
      <c r="G213" s="141"/>
    </row>
    <row r="214" spans="1:7" ht="19.95" customHeight="1">
      <c r="A214" s="138"/>
      <c r="B214" s="139"/>
      <c r="C214" s="140"/>
      <c r="D214" s="140"/>
      <c r="E214" s="209"/>
      <c r="F214" s="140"/>
      <c r="G214" s="141"/>
    </row>
    <row r="215" spans="1:7" ht="19.95" customHeight="1">
      <c r="A215" s="138"/>
      <c r="B215" s="139"/>
      <c r="C215" s="140"/>
      <c r="D215" s="140"/>
      <c r="E215" s="209"/>
      <c r="F215" s="140"/>
      <c r="G215" s="141"/>
    </row>
    <row r="216" spans="1:7" ht="19.95" customHeight="1">
      <c r="A216" s="138"/>
      <c r="B216" s="139"/>
      <c r="C216" s="140"/>
      <c r="D216" s="140"/>
      <c r="E216" s="209"/>
      <c r="F216" s="140"/>
      <c r="G216" s="141"/>
    </row>
    <row r="217" spans="1:7" ht="19.95" customHeight="1">
      <c r="A217" s="138"/>
      <c r="B217" s="139"/>
      <c r="C217" s="140"/>
      <c r="D217" s="140"/>
      <c r="E217" s="209"/>
      <c r="F217" s="140"/>
      <c r="G217" s="141"/>
    </row>
    <row r="218" spans="1:7" ht="19.95" customHeight="1">
      <c r="A218" s="138"/>
      <c r="B218" s="139"/>
      <c r="C218" s="140"/>
      <c r="D218" s="140"/>
      <c r="E218" s="209"/>
      <c r="F218" s="140"/>
      <c r="G218" s="141"/>
    </row>
    <row r="219" spans="1:7" ht="19.95" customHeight="1">
      <c r="A219" s="138"/>
      <c r="B219" s="139"/>
      <c r="C219" s="140"/>
      <c r="D219" s="140"/>
      <c r="E219" s="209"/>
      <c r="F219" s="140"/>
      <c r="G219" s="141"/>
    </row>
    <row r="220" spans="1:7" ht="19.95" customHeight="1">
      <c r="A220" s="138"/>
      <c r="B220" s="139"/>
      <c r="C220" s="140"/>
      <c r="D220" s="140"/>
      <c r="E220" s="209"/>
      <c r="F220" s="140"/>
      <c r="G220" s="141"/>
    </row>
    <row r="221" spans="1:7" ht="19.95" customHeight="1">
      <c r="A221" s="138"/>
      <c r="B221" s="139"/>
      <c r="C221" s="140"/>
      <c r="D221" s="140"/>
      <c r="E221" s="209"/>
      <c r="F221" s="140"/>
      <c r="G221" s="141"/>
    </row>
    <row r="222" spans="1:7" ht="19.95" customHeight="1">
      <c r="A222" s="138"/>
      <c r="B222" s="139"/>
      <c r="C222" s="140"/>
      <c r="D222" s="140"/>
      <c r="E222" s="209"/>
      <c r="F222" s="140"/>
      <c r="G222" s="141"/>
    </row>
    <row r="223" spans="1:7" ht="19.95" customHeight="1">
      <c r="A223" s="138"/>
      <c r="B223" s="139"/>
      <c r="C223" s="140"/>
      <c r="D223" s="140"/>
      <c r="E223" s="209"/>
      <c r="F223" s="140"/>
      <c r="G223" s="141"/>
    </row>
    <row r="224" spans="1:7" ht="19.95" customHeight="1">
      <c r="A224" s="138"/>
      <c r="B224" s="139"/>
      <c r="C224" s="140"/>
      <c r="D224" s="140"/>
      <c r="E224" s="209"/>
      <c r="F224" s="140"/>
      <c r="G224" s="141"/>
    </row>
    <row r="225" spans="1:7" ht="19.95" customHeight="1">
      <c r="A225" s="138"/>
      <c r="B225" s="139"/>
      <c r="C225" s="140"/>
      <c r="D225" s="140"/>
      <c r="E225" s="209"/>
      <c r="F225" s="140"/>
      <c r="G225" s="141"/>
    </row>
    <row r="226" spans="1:7" ht="19.95" customHeight="1">
      <c r="A226" s="138"/>
      <c r="B226" s="139"/>
      <c r="C226" s="140"/>
      <c r="D226" s="140"/>
      <c r="E226" s="209"/>
      <c r="F226" s="140"/>
      <c r="G226" s="141"/>
    </row>
    <row r="227" spans="1:7" ht="19.95" customHeight="1">
      <c r="A227" s="138"/>
      <c r="B227" s="139"/>
      <c r="C227" s="140"/>
      <c r="D227" s="140"/>
      <c r="E227" s="209"/>
      <c r="F227" s="140"/>
      <c r="G227" s="141"/>
    </row>
    <row r="228" spans="1:7" ht="19.95" customHeight="1">
      <c r="A228" s="138"/>
      <c r="B228" s="139"/>
      <c r="C228" s="140"/>
      <c r="D228" s="140"/>
      <c r="E228" s="209"/>
      <c r="F228" s="140"/>
      <c r="G228" s="141"/>
    </row>
    <row r="229" spans="1:7" ht="19.95" customHeight="1">
      <c r="A229" s="138"/>
      <c r="B229" s="139"/>
      <c r="C229" s="140"/>
      <c r="D229" s="140"/>
      <c r="E229" s="209"/>
      <c r="F229" s="140"/>
      <c r="G229" s="141"/>
    </row>
    <row r="230" spans="1:7" ht="19.95" customHeight="1">
      <c r="A230" s="138"/>
      <c r="B230" s="139"/>
      <c r="C230" s="140"/>
      <c r="D230" s="140"/>
      <c r="E230" s="209"/>
      <c r="F230" s="140"/>
      <c r="G230" s="141"/>
    </row>
    <row r="231" spans="1:7" ht="19.95" customHeight="1">
      <c r="A231" s="138"/>
      <c r="B231" s="139"/>
      <c r="C231" s="140"/>
      <c r="D231" s="140"/>
      <c r="E231" s="209"/>
      <c r="F231" s="140"/>
      <c r="G231" s="141"/>
    </row>
    <row r="232" spans="1:7" ht="19.95" customHeight="1">
      <c r="A232" s="138"/>
      <c r="B232" s="139"/>
      <c r="C232" s="140"/>
      <c r="D232" s="140"/>
      <c r="E232" s="209"/>
      <c r="F232" s="140"/>
      <c r="G232" s="141"/>
    </row>
    <row r="233" spans="1:7" ht="19.95" customHeight="1">
      <c r="A233" s="138"/>
      <c r="B233" s="139"/>
      <c r="C233" s="140"/>
      <c r="D233" s="140"/>
      <c r="E233" s="209"/>
      <c r="F233" s="140"/>
      <c r="G233" s="141"/>
    </row>
    <row r="234" spans="1:7" ht="19.95" customHeight="1">
      <c r="A234" s="138"/>
      <c r="B234" s="139"/>
      <c r="C234" s="140"/>
      <c r="D234" s="140"/>
      <c r="E234" s="209"/>
      <c r="F234" s="140"/>
      <c r="G234" s="141"/>
    </row>
    <row r="235" spans="1:7" ht="19.95" customHeight="1">
      <c r="A235" s="138"/>
      <c r="B235" s="139"/>
      <c r="C235" s="140"/>
      <c r="D235" s="140"/>
      <c r="E235" s="209"/>
      <c r="F235" s="140"/>
      <c r="G235" s="141"/>
    </row>
    <row r="236" spans="1:7" ht="19.95" customHeight="1">
      <c r="A236" s="138"/>
      <c r="B236" s="139"/>
      <c r="C236" s="140"/>
      <c r="D236" s="140"/>
      <c r="E236" s="209"/>
      <c r="F236" s="140"/>
      <c r="G236" s="141"/>
    </row>
    <row r="237" spans="1:7" ht="19.95" customHeight="1">
      <c r="A237" s="138"/>
      <c r="B237" s="139"/>
      <c r="C237" s="140"/>
      <c r="D237" s="140"/>
      <c r="E237" s="209"/>
      <c r="F237" s="140"/>
      <c r="G237" s="141"/>
    </row>
    <row r="238" spans="1:7" ht="19.95" customHeight="1">
      <c r="A238" s="138"/>
      <c r="B238" s="139"/>
      <c r="C238" s="140"/>
      <c r="D238" s="140"/>
      <c r="E238" s="209"/>
      <c r="F238" s="140"/>
      <c r="G238" s="141"/>
    </row>
    <row r="239" spans="1:7" ht="19.95" customHeight="1">
      <c r="A239" s="138"/>
      <c r="B239" s="139"/>
      <c r="C239" s="140"/>
      <c r="D239" s="140"/>
      <c r="E239" s="209"/>
      <c r="F239" s="140"/>
      <c r="G239" s="141"/>
    </row>
    <row r="240" spans="1:7" ht="19.95" customHeight="1">
      <c r="A240" s="138"/>
      <c r="B240" s="139"/>
      <c r="C240" s="140"/>
      <c r="D240" s="140"/>
      <c r="E240" s="209"/>
      <c r="F240" s="140"/>
      <c r="G240" s="141"/>
    </row>
    <row r="241" spans="1:7" ht="19.95" customHeight="1">
      <c r="A241" s="138"/>
      <c r="B241" s="139"/>
      <c r="C241" s="140"/>
      <c r="D241" s="140"/>
      <c r="E241" s="209"/>
      <c r="F241" s="140"/>
      <c r="G241" s="141"/>
    </row>
    <row r="242" spans="1:7" ht="19.95" customHeight="1">
      <c r="A242" s="138"/>
      <c r="B242" s="139"/>
      <c r="C242" s="140"/>
      <c r="D242" s="140"/>
      <c r="E242" s="209"/>
      <c r="F242" s="140"/>
      <c r="G242" s="141"/>
    </row>
    <row r="243" spans="1:7" ht="19.95" customHeight="1">
      <c r="A243" s="138"/>
      <c r="B243" s="139"/>
      <c r="C243" s="140"/>
      <c r="D243" s="140"/>
      <c r="E243" s="209"/>
      <c r="F243" s="140"/>
      <c r="G243" s="141"/>
    </row>
    <row r="244" spans="1:7" ht="19.95" customHeight="1">
      <c r="A244" s="138"/>
      <c r="B244" s="139"/>
      <c r="C244" s="140"/>
      <c r="D244" s="140"/>
      <c r="E244" s="209"/>
      <c r="F244" s="140"/>
      <c r="G244" s="141"/>
    </row>
    <row r="245" spans="1:7" ht="19.95" customHeight="1">
      <c r="A245" s="138"/>
      <c r="B245" s="139"/>
      <c r="C245" s="140"/>
      <c r="D245" s="140"/>
      <c r="E245" s="209"/>
      <c r="F245" s="140"/>
      <c r="G245" s="141"/>
    </row>
    <row r="246" spans="1:7" ht="19.95" customHeight="1">
      <c r="A246" s="142"/>
      <c r="B246" s="143"/>
      <c r="C246" s="144"/>
      <c r="D246" s="144"/>
      <c r="E246" s="210"/>
      <c r="F246" s="144"/>
      <c r="G246" s="145"/>
    </row>
    <row r="247" spans="1:7" ht="19.95" customHeight="1">
      <c r="A247" s="142"/>
      <c r="B247" s="143"/>
      <c r="C247" s="144"/>
      <c r="D247" s="144"/>
      <c r="E247" s="210"/>
      <c r="F247" s="144"/>
      <c r="G247" s="145"/>
    </row>
    <row r="248" spans="1:7" ht="19.95" customHeight="1">
      <c r="A248" s="142"/>
      <c r="B248" s="143"/>
      <c r="C248" s="144"/>
      <c r="D248" s="144"/>
      <c r="E248" s="210"/>
      <c r="F248" s="144"/>
      <c r="G248" s="145"/>
    </row>
    <row r="249" spans="1:7" ht="19.95" customHeight="1">
      <c r="A249" s="142"/>
      <c r="B249" s="143"/>
      <c r="C249" s="144"/>
      <c r="D249" s="144"/>
      <c r="E249" s="210"/>
      <c r="F249" s="144"/>
      <c r="G249" s="145"/>
    </row>
    <row r="250" spans="1:7" ht="19.95" customHeight="1">
      <c r="A250" s="142"/>
      <c r="B250" s="143"/>
      <c r="C250" s="144"/>
      <c r="D250" s="144"/>
      <c r="E250" s="210"/>
      <c r="F250" s="144"/>
      <c r="G250" s="145"/>
    </row>
    <row r="251" spans="1:7" ht="19.95" customHeight="1">
      <c r="A251" s="142"/>
      <c r="B251" s="143"/>
      <c r="C251" s="144"/>
      <c r="D251" s="144"/>
      <c r="E251" s="210"/>
      <c r="F251" s="144"/>
      <c r="G251" s="145"/>
    </row>
    <row r="252" spans="1:7" ht="19.95" customHeight="1">
      <c r="A252" s="142"/>
      <c r="B252" s="143"/>
      <c r="C252" s="144"/>
      <c r="D252" s="144"/>
      <c r="E252" s="210"/>
      <c r="F252" s="144"/>
      <c r="G252" s="145"/>
    </row>
    <row r="253" spans="1:7" ht="19.95" customHeight="1">
      <c r="A253" s="142"/>
      <c r="B253" s="143"/>
      <c r="C253" s="144"/>
      <c r="D253" s="144"/>
      <c r="E253" s="210"/>
      <c r="F253" s="144"/>
      <c r="G253" s="145"/>
    </row>
    <row r="254" spans="1:7" ht="19.95" customHeight="1">
      <c r="A254" s="142"/>
      <c r="B254" s="143"/>
      <c r="C254" s="144"/>
      <c r="D254" s="144"/>
      <c r="E254" s="210"/>
      <c r="F254" s="144"/>
      <c r="G254" s="145"/>
    </row>
    <row r="255" spans="1:7" ht="19.95" customHeight="1">
      <c r="A255" s="142"/>
      <c r="B255" s="143"/>
      <c r="C255" s="144"/>
      <c r="D255" s="144"/>
      <c r="E255" s="210"/>
      <c r="F255" s="144"/>
      <c r="G255" s="145"/>
    </row>
    <row r="256" spans="1:7" ht="19.95" customHeight="1">
      <c r="A256" s="142"/>
      <c r="B256" s="143"/>
      <c r="C256" s="144"/>
      <c r="D256" s="144"/>
      <c r="E256" s="210"/>
      <c r="F256" s="144"/>
      <c r="G256" s="145"/>
    </row>
    <row r="257" spans="1:7" ht="19.95" customHeight="1">
      <c r="A257" s="142"/>
      <c r="B257" s="143"/>
      <c r="C257" s="144"/>
      <c r="D257" s="144"/>
      <c r="E257" s="210"/>
      <c r="F257" s="144"/>
      <c r="G257" s="145"/>
    </row>
    <row r="258" spans="1:7" ht="19.95" customHeight="1">
      <c r="A258" s="142"/>
      <c r="B258" s="143"/>
      <c r="C258" s="144"/>
      <c r="D258" s="144"/>
      <c r="E258" s="210"/>
      <c r="F258" s="144"/>
      <c r="G258" s="145"/>
    </row>
    <row r="259" spans="1:7" ht="19.95" customHeight="1">
      <c r="A259" s="142"/>
      <c r="B259" s="143"/>
      <c r="C259" s="144"/>
      <c r="D259" s="144"/>
      <c r="E259" s="210"/>
      <c r="F259" s="144"/>
      <c r="G259" s="145"/>
    </row>
    <row r="260" spans="1:7" ht="19.95" customHeight="1">
      <c r="A260" s="142"/>
      <c r="B260" s="143"/>
      <c r="C260" s="144"/>
      <c r="D260" s="144"/>
      <c r="E260" s="210"/>
      <c r="F260" s="144"/>
      <c r="G260" s="145"/>
    </row>
    <row r="261" spans="1:7" ht="19.95" customHeight="1">
      <c r="A261" s="142"/>
      <c r="B261" s="143"/>
      <c r="C261" s="144"/>
      <c r="D261" s="144"/>
      <c r="E261" s="210"/>
      <c r="F261" s="144"/>
      <c r="G261" s="145"/>
    </row>
    <row r="262" spans="1:7" ht="19.95" customHeight="1">
      <c r="A262" s="142"/>
      <c r="B262" s="143"/>
      <c r="C262" s="144"/>
      <c r="D262" s="144"/>
      <c r="E262" s="210"/>
      <c r="F262" s="144"/>
      <c r="G262" s="145"/>
    </row>
    <row r="263" spans="1:7" ht="19.95" customHeight="1">
      <c r="A263" s="142"/>
      <c r="B263" s="143"/>
      <c r="C263" s="144"/>
      <c r="D263" s="144"/>
      <c r="E263" s="210"/>
      <c r="F263" s="144"/>
      <c r="G263" s="145"/>
    </row>
    <row r="264" spans="1:7" ht="19.95" customHeight="1">
      <c r="A264" s="142"/>
      <c r="B264" s="143"/>
      <c r="C264" s="144"/>
      <c r="D264" s="144"/>
      <c r="E264" s="210"/>
      <c r="F264" s="144"/>
      <c r="G264" s="145"/>
    </row>
    <row r="265" spans="1:7" ht="19.95" customHeight="1">
      <c r="A265" s="142"/>
      <c r="B265" s="143"/>
      <c r="C265" s="144"/>
      <c r="D265" s="144"/>
      <c r="E265" s="210"/>
      <c r="F265" s="144"/>
      <c r="G265" s="145"/>
    </row>
    <row r="266" spans="1:7" ht="19.95" customHeight="1">
      <c r="A266" s="142"/>
      <c r="B266" s="143"/>
      <c r="C266" s="144"/>
      <c r="D266" s="144"/>
      <c r="E266" s="210"/>
      <c r="F266" s="144"/>
      <c r="G266" s="145"/>
    </row>
    <row r="267" spans="1:7" ht="19.95" customHeight="1">
      <c r="A267" s="142"/>
      <c r="B267" s="143"/>
      <c r="C267" s="144"/>
      <c r="D267" s="144"/>
      <c r="E267" s="210"/>
      <c r="F267" s="144"/>
      <c r="G267" s="145"/>
    </row>
    <row r="268" spans="1:7" ht="19.95" customHeight="1">
      <c r="A268" s="142"/>
      <c r="B268" s="143"/>
      <c r="C268" s="144"/>
      <c r="D268" s="144"/>
      <c r="E268" s="210"/>
      <c r="F268" s="144"/>
      <c r="G268" s="145"/>
    </row>
    <row r="269" spans="1:7" ht="19.95" customHeight="1">
      <c r="A269" s="142"/>
      <c r="B269" s="143"/>
      <c r="C269" s="144"/>
      <c r="D269" s="144"/>
      <c r="E269" s="210"/>
      <c r="F269" s="144"/>
      <c r="G269" s="145"/>
    </row>
    <row r="270" spans="1:7" ht="19.95" customHeight="1">
      <c r="A270" s="142"/>
      <c r="B270" s="143"/>
      <c r="C270" s="144"/>
      <c r="D270" s="144"/>
      <c r="E270" s="210"/>
      <c r="F270" s="144"/>
      <c r="G270" s="145"/>
    </row>
    <row r="271" spans="1:7" ht="19.95" customHeight="1">
      <c r="A271" s="142"/>
      <c r="B271" s="143"/>
      <c r="C271" s="144"/>
      <c r="D271" s="144"/>
      <c r="E271" s="210"/>
      <c r="F271" s="144"/>
      <c r="G271" s="145"/>
    </row>
    <row r="272" spans="1:7" ht="19.95" customHeight="1">
      <c r="A272" s="142"/>
      <c r="B272" s="143"/>
      <c r="C272" s="144"/>
      <c r="D272" s="144"/>
      <c r="E272" s="210"/>
      <c r="F272" s="144"/>
      <c r="G272" s="145"/>
    </row>
    <row r="273" spans="1:7" ht="19.95" customHeight="1">
      <c r="A273" s="142"/>
      <c r="B273" s="143"/>
      <c r="C273" s="144"/>
      <c r="D273" s="144"/>
      <c r="E273" s="210"/>
      <c r="F273" s="144"/>
      <c r="G273" s="145"/>
    </row>
    <row r="274" spans="1:7" ht="19.95" customHeight="1">
      <c r="A274" s="142"/>
      <c r="B274" s="143"/>
      <c r="C274" s="144"/>
      <c r="D274" s="144"/>
      <c r="E274" s="210"/>
      <c r="F274" s="144"/>
      <c r="G274" s="145"/>
    </row>
    <row r="275" spans="1:7" ht="19.95" customHeight="1">
      <c r="A275" s="142"/>
      <c r="B275" s="143"/>
      <c r="C275" s="144"/>
      <c r="D275" s="144"/>
      <c r="E275" s="210"/>
      <c r="F275" s="144"/>
      <c r="G275" s="145"/>
    </row>
    <row r="276" spans="1:7" ht="19.95" customHeight="1">
      <c r="A276" s="142"/>
      <c r="B276" s="143"/>
      <c r="C276" s="144"/>
      <c r="D276" s="144"/>
      <c r="E276" s="210"/>
      <c r="F276" s="144"/>
      <c r="G276" s="145"/>
    </row>
    <row r="277" spans="1:7" ht="19.95" customHeight="1">
      <c r="A277" s="142"/>
      <c r="B277" s="143"/>
      <c r="C277" s="144"/>
      <c r="D277" s="144"/>
      <c r="E277" s="210"/>
      <c r="F277" s="144"/>
      <c r="G277" s="145"/>
    </row>
    <row r="278" spans="1:7" ht="19.95" customHeight="1">
      <c r="A278" s="142"/>
      <c r="B278" s="143"/>
      <c r="C278" s="144"/>
      <c r="D278" s="144"/>
      <c r="E278" s="210"/>
      <c r="F278" s="144"/>
      <c r="G278" s="145"/>
    </row>
    <row r="279" spans="1:7" ht="19.95" customHeight="1">
      <c r="A279" s="142"/>
      <c r="B279" s="143"/>
      <c r="C279" s="144"/>
      <c r="D279" s="144"/>
      <c r="E279" s="210"/>
      <c r="F279" s="144"/>
      <c r="G279" s="145"/>
    </row>
    <row r="280" spans="1:7" ht="19.95" customHeight="1">
      <c r="A280" s="142"/>
      <c r="B280" s="143"/>
      <c r="C280" s="144"/>
      <c r="D280" s="144"/>
      <c r="E280" s="210"/>
      <c r="F280" s="144"/>
      <c r="G280" s="145"/>
    </row>
    <row r="281" spans="1:7" ht="19.95" customHeight="1">
      <c r="A281" s="142"/>
      <c r="B281" s="143"/>
      <c r="C281" s="144"/>
      <c r="D281" s="144"/>
      <c r="E281" s="210"/>
      <c r="F281" s="144"/>
      <c r="G281" s="145"/>
    </row>
    <row r="282" spans="1:7" ht="19.95" customHeight="1">
      <c r="A282" s="142"/>
      <c r="B282" s="143"/>
      <c r="C282" s="144"/>
      <c r="D282" s="144"/>
      <c r="E282" s="210"/>
      <c r="F282" s="144"/>
      <c r="G282" s="145"/>
    </row>
    <row r="283" spans="1:7" ht="19.95" customHeight="1">
      <c r="A283" s="142"/>
      <c r="B283" s="143"/>
      <c r="C283" s="144"/>
      <c r="D283" s="144"/>
      <c r="E283" s="210"/>
      <c r="F283" s="144"/>
      <c r="G283" s="145"/>
    </row>
    <row r="284" spans="1:7" ht="19.95" customHeight="1">
      <c r="A284" s="142"/>
      <c r="B284" s="143"/>
      <c r="C284" s="144"/>
      <c r="D284" s="144"/>
      <c r="E284" s="210"/>
      <c r="F284" s="144"/>
      <c r="G284" s="145"/>
    </row>
    <row r="285" spans="1:7" ht="19.95" customHeight="1">
      <c r="A285" s="142"/>
      <c r="B285" s="143"/>
      <c r="C285" s="144"/>
      <c r="D285" s="144"/>
      <c r="E285" s="210"/>
      <c r="F285" s="144"/>
      <c r="G285" s="145"/>
    </row>
    <row r="286" spans="1:7" ht="19.95" customHeight="1">
      <c r="A286" s="142"/>
      <c r="B286" s="143"/>
      <c r="C286" s="144"/>
      <c r="D286" s="144"/>
      <c r="E286" s="210"/>
      <c r="F286" s="144"/>
      <c r="G286" s="145"/>
    </row>
    <row r="287" spans="1:7" ht="19.95" customHeight="1">
      <c r="A287" s="142"/>
      <c r="B287" s="143"/>
      <c r="C287" s="144"/>
      <c r="D287" s="144"/>
      <c r="E287" s="210"/>
      <c r="F287" s="144"/>
      <c r="G287" s="145"/>
    </row>
    <row r="288" spans="1:7" ht="19.95" customHeight="1">
      <c r="A288" s="146"/>
      <c r="B288" s="147"/>
      <c r="C288" s="148"/>
      <c r="D288" s="148"/>
      <c r="E288" s="211"/>
      <c r="F288" s="148"/>
      <c r="G288" s="149"/>
    </row>
    <row r="289" spans="1:7" ht="19.95" customHeight="1">
      <c r="A289" s="146"/>
      <c r="B289" s="147"/>
      <c r="C289" s="148"/>
      <c r="D289" s="148"/>
      <c r="E289" s="211"/>
      <c r="F289" s="148"/>
      <c r="G289" s="149"/>
    </row>
    <row r="290" spans="1:7" ht="19.95" customHeight="1">
      <c r="A290" s="146"/>
      <c r="B290" s="147"/>
      <c r="C290" s="148"/>
      <c r="D290" s="148"/>
      <c r="E290" s="211"/>
      <c r="F290" s="148"/>
      <c r="G290" s="149"/>
    </row>
    <row r="291" spans="1:7" ht="19.95" customHeight="1">
      <c r="A291" s="146"/>
      <c r="B291" s="147"/>
      <c r="C291" s="148"/>
      <c r="D291" s="148"/>
      <c r="E291" s="211"/>
      <c r="F291" s="148"/>
      <c r="G291" s="149"/>
    </row>
    <row r="292" spans="1:7" ht="19.95" customHeight="1">
      <c r="A292" s="146"/>
      <c r="B292" s="147"/>
      <c r="C292" s="148"/>
      <c r="D292" s="148"/>
      <c r="E292" s="211"/>
      <c r="F292" s="148"/>
      <c r="G292" s="149"/>
    </row>
    <row r="293" spans="1:7" ht="19.95" customHeight="1">
      <c r="A293" s="146"/>
      <c r="B293" s="147"/>
      <c r="C293" s="148"/>
      <c r="D293" s="148"/>
      <c r="E293" s="211"/>
      <c r="F293" s="148"/>
      <c r="G293" s="149"/>
    </row>
    <row r="294" spans="1:7" ht="19.95" customHeight="1">
      <c r="A294" s="146"/>
      <c r="B294" s="147"/>
      <c r="C294" s="148"/>
      <c r="D294" s="148"/>
      <c r="E294" s="211"/>
      <c r="F294" s="148"/>
      <c r="G294" s="149"/>
    </row>
    <row r="295" spans="1:7" ht="19.95" customHeight="1">
      <c r="A295" s="146"/>
      <c r="B295" s="147"/>
      <c r="C295" s="148"/>
      <c r="D295" s="148"/>
      <c r="E295" s="211"/>
      <c r="F295" s="148"/>
      <c r="G295" s="149"/>
    </row>
    <row r="296" spans="1:7" ht="19.95" customHeight="1">
      <c r="A296" s="146"/>
      <c r="B296" s="147"/>
      <c r="C296" s="148"/>
      <c r="D296" s="148"/>
      <c r="E296" s="211"/>
      <c r="F296" s="148"/>
      <c r="G296" s="149"/>
    </row>
    <row r="297" spans="1:7" ht="19.95" customHeight="1">
      <c r="A297" s="146"/>
      <c r="B297" s="147"/>
      <c r="C297" s="148"/>
      <c r="D297" s="148"/>
      <c r="E297" s="211"/>
      <c r="F297" s="148"/>
      <c r="G297" s="149"/>
    </row>
    <row r="298" spans="1:7" ht="19.95" customHeight="1">
      <c r="A298" s="146"/>
      <c r="B298" s="147"/>
      <c r="C298" s="148"/>
      <c r="D298" s="148"/>
      <c r="E298" s="211"/>
      <c r="F298" s="148"/>
      <c r="G298" s="149"/>
    </row>
    <row r="299" spans="1:7" ht="19.95" customHeight="1">
      <c r="A299" s="146"/>
      <c r="B299" s="147"/>
      <c r="C299" s="148"/>
      <c r="D299" s="148"/>
      <c r="E299" s="211"/>
      <c r="F299" s="148"/>
      <c r="G299" s="149"/>
    </row>
    <row r="300" spans="1:7" ht="19.95" customHeight="1">
      <c r="A300" s="146"/>
      <c r="B300" s="147"/>
      <c r="C300" s="148"/>
      <c r="D300" s="148"/>
      <c r="E300" s="211"/>
      <c r="F300" s="148"/>
      <c r="G300" s="149"/>
    </row>
    <row r="301" spans="1:7" ht="19.95" customHeight="1">
      <c r="A301" s="146"/>
      <c r="B301" s="147"/>
      <c r="C301" s="148"/>
      <c r="D301" s="148"/>
      <c r="E301" s="211"/>
      <c r="F301" s="148"/>
      <c r="G301" s="149"/>
    </row>
    <row r="302" spans="1:7" ht="19.95" customHeight="1">
      <c r="A302" s="146"/>
      <c r="B302" s="147"/>
      <c r="C302" s="148"/>
      <c r="D302" s="148"/>
      <c r="E302" s="211"/>
      <c r="F302" s="148"/>
      <c r="G302" s="149"/>
    </row>
    <row r="303" spans="1:7" ht="19.95" customHeight="1">
      <c r="A303" s="146"/>
      <c r="B303" s="147"/>
      <c r="C303" s="148"/>
      <c r="D303" s="148"/>
      <c r="E303" s="211"/>
      <c r="F303" s="148"/>
      <c r="G303" s="149"/>
    </row>
    <row r="304" spans="1:7" ht="19.95" customHeight="1">
      <c r="A304" s="146"/>
      <c r="B304" s="147"/>
      <c r="C304" s="148"/>
      <c r="D304" s="148"/>
      <c r="E304" s="211"/>
      <c r="F304" s="148"/>
      <c r="G304" s="149"/>
    </row>
    <row r="305" spans="1:7" ht="19.95" customHeight="1">
      <c r="A305" s="146"/>
      <c r="B305" s="147"/>
      <c r="C305" s="148"/>
      <c r="D305" s="148"/>
      <c r="E305" s="211"/>
      <c r="F305" s="148"/>
      <c r="G305" s="149"/>
    </row>
    <row r="306" spans="1:7" ht="19.95" customHeight="1">
      <c r="A306" s="146"/>
      <c r="B306" s="147"/>
      <c r="C306" s="148"/>
      <c r="D306" s="148"/>
      <c r="E306" s="211"/>
      <c r="F306" s="148"/>
      <c r="G306" s="149"/>
    </row>
    <row r="307" spans="1:7" ht="19.95" customHeight="1">
      <c r="A307" s="146"/>
      <c r="B307" s="147"/>
      <c r="C307" s="148"/>
      <c r="D307" s="148"/>
      <c r="E307" s="211"/>
      <c r="F307" s="148"/>
      <c r="G307" s="149"/>
    </row>
    <row r="308" spans="1:7" ht="19.95" customHeight="1">
      <c r="A308" s="146"/>
      <c r="B308" s="147"/>
      <c r="C308" s="148"/>
      <c r="D308" s="148"/>
      <c r="E308" s="211"/>
      <c r="F308" s="148"/>
      <c r="G308" s="149"/>
    </row>
    <row r="309" spans="1:7" ht="19.95" customHeight="1">
      <c r="A309" s="146"/>
      <c r="B309" s="147"/>
      <c r="C309" s="148"/>
      <c r="D309" s="148"/>
      <c r="E309" s="211"/>
      <c r="F309" s="148"/>
      <c r="G309" s="149"/>
    </row>
    <row r="310" spans="1:7" ht="19.95" customHeight="1">
      <c r="A310" s="146"/>
      <c r="B310" s="147"/>
      <c r="C310" s="148"/>
      <c r="D310" s="148"/>
      <c r="E310" s="211"/>
      <c r="F310" s="148"/>
      <c r="G310" s="149"/>
    </row>
    <row r="311" spans="1:7" ht="19.95" customHeight="1">
      <c r="A311" s="146"/>
      <c r="B311" s="147"/>
      <c r="C311" s="148"/>
      <c r="D311" s="148"/>
      <c r="E311" s="211"/>
      <c r="F311" s="148"/>
      <c r="G311" s="149"/>
    </row>
    <row r="312" spans="1:7" ht="19.95" customHeight="1">
      <c r="A312" s="146"/>
      <c r="B312" s="147"/>
      <c r="C312" s="148"/>
      <c r="D312" s="148"/>
      <c r="E312" s="211"/>
      <c r="F312" s="148"/>
      <c r="G312" s="149"/>
    </row>
    <row r="313" spans="1:7" ht="19.95" customHeight="1">
      <c r="A313" s="146"/>
      <c r="B313" s="147"/>
      <c r="C313" s="148"/>
      <c r="D313" s="148"/>
      <c r="E313" s="211"/>
      <c r="F313" s="148"/>
      <c r="G313" s="149"/>
    </row>
    <row r="314" spans="1:7" ht="19.95" customHeight="1">
      <c r="A314" s="146"/>
      <c r="B314" s="147"/>
      <c r="C314" s="148"/>
      <c r="D314" s="148"/>
      <c r="E314" s="211"/>
      <c r="F314" s="148"/>
      <c r="G314" s="149"/>
    </row>
    <row r="315" spans="1:7" ht="19.95" customHeight="1">
      <c r="A315" s="146"/>
      <c r="B315" s="147"/>
      <c r="C315" s="148"/>
      <c r="D315" s="148"/>
      <c r="E315" s="211"/>
      <c r="F315" s="148"/>
      <c r="G315" s="149"/>
    </row>
    <row r="316" spans="1:7" ht="19.95" customHeight="1">
      <c r="A316" s="146"/>
      <c r="B316" s="147"/>
      <c r="C316" s="148"/>
      <c r="D316" s="148"/>
      <c r="E316" s="211"/>
      <c r="F316" s="148"/>
      <c r="G316" s="149"/>
    </row>
    <row r="317" spans="1:7" ht="19.95" customHeight="1">
      <c r="A317" s="146"/>
      <c r="B317" s="147"/>
      <c r="C317" s="148"/>
      <c r="D317" s="148"/>
      <c r="E317" s="211"/>
      <c r="F317" s="148"/>
      <c r="G317" s="149"/>
    </row>
    <row r="318" spans="1:7" ht="19.95" customHeight="1">
      <c r="A318" s="146"/>
      <c r="B318" s="147"/>
      <c r="C318" s="148"/>
      <c r="D318" s="148"/>
      <c r="E318" s="211"/>
      <c r="F318" s="148"/>
      <c r="G318" s="149"/>
    </row>
    <row r="319" spans="1:7" ht="19.95" customHeight="1">
      <c r="A319" s="146"/>
      <c r="B319" s="147"/>
      <c r="C319" s="148"/>
      <c r="D319" s="148"/>
      <c r="E319" s="211"/>
      <c r="F319" s="148"/>
      <c r="G319" s="149"/>
    </row>
    <row r="320" spans="1:7" ht="19.95" customHeight="1">
      <c r="A320" s="146"/>
      <c r="B320" s="147"/>
      <c r="C320" s="148"/>
      <c r="D320" s="148"/>
      <c r="E320" s="211"/>
      <c r="F320" s="148"/>
      <c r="G320" s="149"/>
    </row>
    <row r="321" spans="1:7" ht="19.95" customHeight="1">
      <c r="A321" s="146"/>
      <c r="B321" s="147"/>
      <c r="C321" s="148"/>
      <c r="D321" s="148"/>
      <c r="E321" s="211"/>
      <c r="F321" s="148"/>
      <c r="G321" s="149"/>
    </row>
    <row r="322" spans="1:7" ht="19.95" customHeight="1">
      <c r="A322" s="146"/>
      <c r="B322" s="147"/>
      <c r="C322" s="148"/>
      <c r="D322" s="148"/>
      <c r="E322" s="211"/>
      <c r="F322" s="148"/>
      <c r="G322" s="149"/>
    </row>
    <row r="323" spans="1:7" ht="19.95" customHeight="1">
      <c r="A323" s="146"/>
      <c r="B323" s="147"/>
      <c r="C323" s="148"/>
      <c r="D323" s="148"/>
      <c r="E323" s="211"/>
      <c r="F323" s="148"/>
      <c r="G323" s="149"/>
    </row>
    <row r="324" spans="1:7" ht="19.95" customHeight="1">
      <c r="A324" s="146"/>
      <c r="B324" s="147"/>
      <c r="C324" s="148"/>
      <c r="D324" s="148"/>
      <c r="E324" s="211"/>
      <c r="F324" s="148"/>
      <c r="G324" s="149"/>
    </row>
    <row r="325" spans="1:7" ht="19.95" customHeight="1">
      <c r="A325" s="146"/>
      <c r="B325" s="147"/>
      <c r="C325" s="148"/>
      <c r="D325" s="148"/>
      <c r="E325" s="211"/>
      <c r="F325" s="148"/>
      <c r="G325" s="149"/>
    </row>
    <row r="326" spans="1:7" ht="19.95" customHeight="1">
      <c r="A326" s="150"/>
      <c r="B326" s="151"/>
      <c r="C326" s="152"/>
      <c r="D326" s="152"/>
      <c r="E326" s="212"/>
      <c r="F326" s="152"/>
      <c r="G326" s="153"/>
    </row>
  </sheetData>
  <conditionalFormatting sqref="A5:G326">
    <cfRule type="expression" dxfId="4" priority="1">
      <formula>$G5="Cancelada"</formula>
    </cfRule>
  </conditionalFormatting>
  <conditionalFormatting sqref="B5:B326">
    <cfRule type="containsText" dxfId="3" priority="2" operator="containsText" text="Receita">
      <formula>NOT(ISERROR(SEARCH("Receita",B5)))</formula>
    </cfRule>
    <cfRule type="containsText" dxfId="2" priority="3" operator="containsText" text="Despesa">
      <formula>NOT(ISERROR(SEARCH("Despesa",B5)))</formula>
    </cfRule>
  </conditionalFormatting>
  <conditionalFormatting sqref="E5:E326">
    <cfRule type="expression" dxfId="1" priority="4">
      <formula>$B5="Receita"</formula>
    </cfRule>
    <cfRule type="expression" dxfId="0" priority="5">
      <formula>$B5="Despesa"</formula>
    </cfRule>
  </conditionalFormatting>
  <dataValidations count="1">
    <dataValidation type="list" allowBlank="1" showInputMessage="1" showErrorMessage="1" sqref="G5:G326" xr:uid="{3747CB40-1B93-4926-B32C-47E468938B1E}">
      <formula1>"Ativa,Cancelada"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0"/>
  <sheetViews>
    <sheetView workbookViewId="0">
      <selection activeCell="C50" sqref="C50"/>
    </sheetView>
  </sheetViews>
  <sheetFormatPr defaultRowHeight="14.4"/>
  <cols>
    <col min="1" max="1" width="16.6640625" customWidth="1"/>
    <col min="2" max="2" width="33.33203125" customWidth="1"/>
    <col min="3" max="3" width="18.5546875" customWidth="1"/>
    <col min="4" max="4" width="14.77734375" customWidth="1"/>
    <col min="5" max="5" width="18.5546875" customWidth="1"/>
    <col min="6" max="6" width="37" customWidth="1"/>
    <col min="8" max="8" width="20.33203125" customWidth="1"/>
    <col min="9" max="10" width="18.5546875" customWidth="1"/>
    <col min="11" max="11" width="20.33203125" customWidth="1"/>
    <col min="12" max="12" width="14.77734375" customWidth="1"/>
  </cols>
  <sheetData>
    <row r="1" spans="1:12" ht="30" customHeight="1">
      <c r="A1" s="400" t="s">
        <v>140</v>
      </c>
      <c r="B1" s="400"/>
      <c r="C1" s="400"/>
      <c r="D1" s="400"/>
      <c r="E1" s="400"/>
      <c r="F1" s="400"/>
      <c r="H1" s="363" t="s">
        <v>247</v>
      </c>
      <c r="I1" s="363"/>
      <c r="J1" s="363"/>
      <c r="K1" s="363"/>
      <c r="L1" s="363"/>
    </row>
    <row r="2" spans="1:12" ht="10.050000000000001" customHeight="1">
      <c r="A2" s="401" t="s">
        <v>246</v>
      </c>
      <c r="B2" s="401"/>
      <c r="C2" s="401"/>
      <c r="D2" s="401"/>
      <c r="E2" s="401"/>
      <c r="F2" s="401"/>
      <c r="H2" s="10" t="s">
        <v>248</v>
      </c>
      <c r="I2" s="10" t="s">
        <v>182</v>
      </c>
      <c r="J2" s="72">
        <v>2026</v>
      </c>
      <c r="K2" s="10" t="s">
        <v>249</v>
      </c>
      <c r="L2" s="72">
        <v>0</v>
      </c>
    </row>
    <row r="3" spans="1:12" ht="25.05" customHeight="1">
      <c r="A3" s="68" t="s">
        <v>8</v>
      </c>
      <c r="B3" s="69" t="s">
        <v>9</v>
      </c>
      <c r="C3" s="69" t="s">
        <v>3</v>
      </c>
      <c r="D3" s="69" t="s">
        <v>10</v>
      </c>
      <c r="E3" s="69" t="s">
        <v>6</v>
      </c>
      <c r="F3" s="70" t="s">
        <v>7</v>
      </c>
      <c r="H3" s="402" t="s">
        <v>250</v>
      </c>
      <c r="I3" s="402"/>
      <c r="J3" s="402"/>
      <c r="K3" s="402"/>
      <c r="L3" s="402"/>
    </row>
    <row r="4" spans="1:12" ht="19.95" customHeight="1">
      <c r="A4" s="71">
        <v>45671</v>
      </c>
      <c r="B4" t="s">
        <v>78</v>
      </c>
      <c r="C4" t="s">
        <v>77</v>
      </c>
      <c r="D4" t="s">
        <v>183</v>
      </c>
      <c r="E4" s="7">
        <v>300</v>
      </c>
      <c r="F4" t="s">
        <v>452</v>
      </c>
    </row>
    <row r="5" spans="1:12" ht="19.95" customHeight="1">
      <c r="A5" s="71">
        <v>45671</v>
      </c>
      <c r="B5" t="s">
        <v>453</v>
      </c>
      <c r="C5" t="s">
        <v>79</v>
      </c>
      <c r="D5" t="s">
        <v>183</v>
      </c>
      <c r="E5" s="7">
        <v>100</v>
      </c>
      <c r="F5" t="s">
        <v>454</v>
      </c>
      <c r="H5" s="74" t="s">
        <v>251</v>
      </c>
      <c r="I5" s="74" t="s">
        <v>179</v>
      </c>
      <c r="J5" s="74" t="s">
        <v>180</v>
      </c>
      <c r="K5" s="74" t="s">
        <v>181</v>
      </c>
      <c r="L5" s="74" t="s">
        <v>160</v>
      </c>
    </row>
    <row r="6" spans="1:12" ht="19.95" customHeight="1">
      <c r="A6" s="71">
        <v>45671</v>
      </c>
      <c r="B6" t="s">
        <v>83</v>
      </c>
      <c r="C6" t="s">
        <v>82</v>
      </c>
      <c r="D6" t="s">
        <v>183</v>
      </c>
      <c r="E6" s="7">
        <v>100</v>
      </c>
      <c r="F6" t="s">
        <v>455</v>
      </c>
      <c r="H6" s="75" t="s">
        <v>77</v>
      </c>
      <c r="I6" s="329" cm="1">
        <f t="array" ref="I6">SUMPRODUCT((tb_investimentos[Tipo_Ativo]="Renda Fixa")*(tb_investimentos[Movimento]="Aporte")*(YEAR(tb_investimentos[Data])=$J$2)*(IF($L$2=0,1,MONTH(tb_investimentos[Data])=$L$2))*tb_investimentos[Valor])</f>
        <v>0</v>
      </c>
      <c r="J6" s="329" cm="1">
        <f t="array" ref="J6">SUMPRODUCT((tb_investimentos[Tipo_Ativo]="Renda Fixa")*(tb_investimentos[Movimento]="Resgate")*(YEAR(tb_investimentos[Data])=$J$2)*(IF($L$2=0,1,MONTH(tb_investimentos[Data])=$L$2))*tb_investimentos[Valor])</f>
        <v>0</v>
      </c>
      <c r="K6" s="329">
        <f>I6-J6</f>
        <v>0</v>
      </c>
      <c r="L6" s="76">
        <f>IFERROR(K6/SUM($K$6:$K$9),0)</f>
        <v>0</v>
      </c>
    </row>
    <row r="7" spans="1:12" ht="19.95" customHeight="1">
      <c r="A7" s="71">
        <v>45702</v>
      </c>
      <c r="B7" t="s">
        <v>78</v>
      </c>
      <c r="C7" t="s">
        <v>77</v>
      </c>
      <c r="D7" t="s">
        <v>183</v>
      </c>
      <c r="E7" s="7">
        <v>300</v>
      </c>
      <c r="F7" t="s">
        <v>452</v>
      </c>
      <c r="H7" s="75" t="s">
        <v>79</v>
      </c>
      <c r="I7" s="329" cm="1">
        <f t="array" ref="I7">SUMPRODUCT((tb_investimentos[Tipo_Ativo]="Renda Variável")*(tb_investimentos[Movimento]="Aporte")*(YEAR(tb_investimentos[Data])=$J$2)*(IF($L$2=0,1,MONTH(tb_investimentos[Data])=$L$2))*tb_investimentos[Valor])</f>
        <v>0</v>
      </c>
      <c r="J7" s="329" cm="1">
        <f t="array" ref="J7">SUMPRODUCT((tb_investimentos[Tipo_Ativo]="Renda Variável")*(tb_investimentos[Movimento]="Resgate")*(YEAR(tb_investimentos[Data])=$J$2)*(IF($L$2=0,1,MONTH(tb_investimentos[Data])=$L$2))*tb_investimentos[Valor])</f>
        <v>0</v>
      </c>
      <c r="K7" s="329">
        <f>I7-J7</f>
        <v>0</v>
      </c>
      <c r="L7" s="76">
        <f>IFERROR(K7/SUM($K$6:$K$9),0)</f>
        <v>0</v>
      </c>
    </row>
    <row r="8" spans="1:12" ht="19.95" customHeight="1">
      <c r="A8" s="71">
        <v>45702</v>
      </c>
      <c r="B8" t="s">
        <v>453</v>
      </c>
      <c r="C8" t="s">
        <v>79</v>
      </c>
      <c r="D8" t="s">
        <v>183</v>
      </c>
      <c r="E8" s="7">
        <v>100</v>
      </c>
      <c r="F8" t="s">
        <v>454</v>
      </c>
      <c r="H8" s="75" t="s">
        <v>82</v>
      </c>
      <c r="I8" s="329" cm="1">
        <f t="array" ref="I8">SUMPRODUCT((tb_investimentos[Tipo_Ativo]="Previdência")*(tb_investimentos[Movimento]="Aporte")*(YEAR(tb_investimentos[Data])=$J$2)*(IF($L$2=0,1,MONTH(tb_investimentos[Data])=$L$2))*tb_investimentos[Valor])</f>
        <v>0</v>
      </c>
      <c r="J8" s="329" cm="1">
        <f t="array" ref="J8">SUMPRODUCT((tb_investimentos[Tipo_Ativo]="Previdência")*(tb_investimentos[Movimento]="Resgate")*(YEAR(tb_investimentos[Data])=$J$2)*(IF($L$2=0,1,MONTH(tb_investimentos[Data])=$L$2))*tb_investimentos[Valor])</f>
        <v>0</v>
      </c>
      <c r="K8" s="329">
        <f>I8-J8</f>
        <v>0</v>
      </c>
      <c r="L8" s="76">
        <f>IFERROR(K8/SUM($K$6:$K$9),0)</f>
        <v>0</v>
      </c>
    </row>
    <row r="9" spans="1:12" ht="19.95" customHeight="1">
      <c r="A9" s="71">
        <v>45702</v>
      </c>
      <c r="B9" t="s">
        <v>83</v>
      </c>
      <c r="C9" t="s">
        <v>82</v>
      </c>
      <c r="D9" t="s">
        <v>183</v>
      </c>
      <c r="E9" s="7">
        <v>100</v>
      </c>
      <c r="F9" t="s">
        <v>455</v>
      </c>
      <c r="H9" s="75" t="s">
        <v>84</v>
      </c>
      <c r="I9" s="329" cm="1">
        <f t="array" ref="I9">SUMPRODUCT((tb_investimentos[Tipo_Ativo]="Alternativos")*(tb_investimentos[Movimento]="Aporte")*(YEAR(tb_investimentos[Data])=$J$2)*(IF($L$2=0,1,MONTH(tb_investimentos[Data])=$L$2))*tb_investimentos[Valor])</f>
        <v>0</v>
      </c>
      <c r="J9" s="329" cm="1">
        <f t="array" ref="J9">SUMPRODUCT((tb_investimentos[Tipo_Ativo]="Alternativos")*(tb_investimentos[Movimento]="Resgate")*(YEAR(tb_investimentos[Data])=$J$2)*(IF($L$2=0,1,MONTH(tb_investimentos[Data])=$L$2))*tb_investimentos[Valor])</f>
        <v>0</v>
      </c>
      <c r="K9" s="329">
        <f>I9-J9</f>
        <v>0</v>
      </c>
      <c r="L9" s="76">
        <f>IFERROR(K9/SUM($K$6:$K$9),0)</f>
        <v>0</v>
      </c>
    </row>
    <row r="10" spans="1:12" ht="19.95" customHeight="1">
      <c r="A10" s="71">
        <v>45730</v>
      </c>
      <c r="B10" t="s">
        <v>78</v>
      </c>
      <c r="C10" t="s">
        <v>77</v>
      </c>
      <c r="D10" t="s">
        <v>183</v>
      </c>
      <c r="E10" s="7">
        <v>300</v>
      </c>
      <c r="F10" t="s">
        <v>452</v>
      </c>
      <c r="H10" s="77" t="s">
        <v>141</v>
      </c>
      <c r="I10" s="330">
        <f>SUM(I6:I9)</f>
        <v>0</v>
      </c>
      <c r="J10" s="330">
        <f>SUM(J6:J9)</f>
        <v>0</v>
      </c>
      <c r="K10" s="330">
        <f>SUM(K6:K9)</f>
        <v>0</v>
      </c>
      <c r="L10" s="78">
        <f>SUM(L6:L9)</f>
        <v>0</v>
      </c>
    </row>
    <row r="11" spans="1:12" ht="19.95" customHeight="1">
      <c r="A11" s="71">
        <v>45730</v>
      </c>
      <c r="B11" t="s">
        <v>453</v>
      </c>
      <c r="C11" t="s">
        <v>79</v>
      </c>
      <c r="D11" t="s">
        <v>183</v>
      </c>
      <c r="E11" s="7">
        <v>100</v>
      </c>
      <c r="F11" t="s">
        <v>454</v>
      </c>
    </row>
    <row r="12" spans="1:12" ht="19.95" customHeight="1">
      <c r="A12" s="71">
        <v>45730</v>
      </c>
      <c r="B12" t="s">
        <v>83</v>
      </c>
      <c r="C12" t="s">
        <v>82</v>
      </c>
      <c r="D12" t="s">
        <v>183</v>
      </c>
      <c r="E12" s="7">
        <v>100</v>
      </c>
      <c r="F12" t="s">
        <v>455</v>
      </c>
      <c r="H12" s="398" t="s">
        <v>252</v>
      </c>
      <c r="I12" s="398"/>
      <c r="J12" s="398"/>
      <c r="K12" s="398"/>
      <c r="L12" s="398"/>
    </row>
    <row r="13" spans="1:12" ht="19.95" customHeight="1">
      <c r="A13" s="71">
        <v>45761</v>
      </c>
      <c r="B13" t="s">
        <v>78</v>
      </c>
      <c r="C13" t="s">
        <v>77</v>
      </c>
      <c r="D13" t="s">
        <v>183</v>
      </c>
      <c r="E13" s="7">
        <v>300</v>
      </c>
      <c r="F13" t="s">
        <v>452</v>
      </c>
      <c r="H13" s="80" t="s">
        <v>129</v>
      </c>
      <c r="I13" s="80" t="s">
        <v>179</v>
      </c>
      <c r="J13" s="80" t="s">
        <v>180</v>
      </c>
      <c r="K13" s="80" t="s">
        <v>161</v>
      </c>
      <c r="L13" s="80" t="s">
        <v>253</v>
      </c>
    </row>
    <row r="14" spans="1:12" ht="19.95" customHeight="1">
      <c r="A14" s="71">
        <v>45761</v>
      </c>
      <c r="B14" t="s">
        <v>453</v>
      </c>
      <c r="C14" t="s">
        <v>79</v>
      </c>
      <c r="D14" t="s">
        <v>183</v>
      </c>
      <c r="E14" s="7">
        <v>100</v>
      </c>
      <c r="F14" t="s">
        <v>454</v>
      </c>
      <c r="H14" s="81" t="s">
        <v>162</v>
      </c>
      <c r="I14" s="329" cm="1">
        <f t="array" ref="I14">SUMPRODUCT((tb_investimentos[Movimento]="Aporte")*(YEAR(tb_investimentos[Data])=$J$2)*(MONTH(tb_investimentos[Data])=1)*tb_investimentos[Valor])</f>
        <v>0</v>
      </c>
      <c r="J14" s="329" cm="1">
        <f t="array" ref="J14">SUMPRODUCT((tb_investimentos[Movimento]="Resgate")*(YEAR(tb_investimentos[Data])=$J$2)*(MONTH(tb_investimentos[Data])=1)*tb_investimentos[Valor])</f>
        <v>0</v>
      </c>
      <c r="K14" s="329">
        <f t="shared" ref="K14:K25" si="0">I14-J14</f>
        <v>0</v>
      </c>
      <c r="L14" s="329">
        <f>K14</f>
        <v>0</v>
      </c>
    </row>
    <row r="15" spans="1:12" ht="19.95" customHeight="1">
      <c r="A15" s="71">
        <v>45761</v>
      </c>
      <c r="B15" t="s">
        <v>83</v>
      </c>
      <c r="C15" t="s">
        <v>82</v>
      </c>
      <c r="D15" t="s">
        <v>183</v>
      </c>
      <c r="E15" s="7">
        <v>100</v>
      </c>
      <c r="F15" t="s">
        <v>455</v>
      </c>
      <c r="H15" s="81" t="s">
        <v>163</v>
      </c>
      <c r="I15" s="329" cm="1">
        <f t="array" ref="I15">SUMPRODUCT((tb_investimentos[Movimento]="Aporte")*(YEAR(tb_investimentos[Data])=$J$2)*(MONTH(tb_investimentos[Data])=2)*tb_investimentos[Valor])</f>
        <v>0</v>
      </c>
      <c r="J15" s="329" cm="1">
        <f t="array" ref="J15">SUMPRODUCT((tb_investimentos[Movimento]="Resgate")*(YEAR(tb_investimentos[Data])=$J$2)*(MONTH(tb_investimentos[Data])=2)*tb_investimentos[Valor])</f>
        <v>0</v>
      </c>
      <c r="K15" s="329">
        <f t="shared" si="0"/>
        <v>0</v>
      </c>
      <c r="L15" s="329">
        <f t="shared" ref="L15:L25" si="1">L14+K15</f>
        <v>0</v>
      </c>
    </row>
    <row r="16" spans="1:12" ht="19.95" customHeight="1">
      <c r="A16" s="71">
        <v>45791</v>
      </c>
      <c r="B16" t="s">
        <v>78</v>
      </c>
      <c r="C16" t="s">
        <v>77</v>
      </c>
      <c r="D16" t="s">
        <v>183</v>
      </c>
      <c r="E16" s="7">
        <v>300</v>
      </c>
      <c r="F16" t="s">
        <v>452</v>
      </c>
      <c r="H16" s="81" t="s">
        <v>164</v>
      </c>
      <c r="I16" s="329" cm="1">
        <f t="array" ref="I16">SUMPRODUCT((tb_investimentos[Movimento]="Aporte")*(YEAR(tb_investimentos[Data])=$J$2)*(MONTH(tb_investimentos[Data])=3)*tb_investimentos[Valor])</f>
        <v>0</v>
      </c>
      <c r="J16" s="329" cm="1">
        <f t="array" ref="J16">SUMPRODUCT((tb_investimentos[Movimento]="Resgate")*(YEAR(tb_investimentos[Data])=$J$2)*(MONTH(tb_investimentos[Data])=3)*tb_investimentos[Valor])</f>
        <v>0</v>
      </c>
      <c r="K16" s="329">
        <f t="shared" si="0"/>
        <v>0</v>
      </c>
      <c r="L16" s="329">
        <f t="shared" si="1"/>
        <v>0</v>
      </c>
    </row>
    <row r="17" spans="1:12" ht="19.95" customHeight="1">
      <c r="A17" s="71">
        <v>45791</v>
      </c>
      <c r="B17" t="s">
        <v>453</v>
      </c>
      <c r="C17" t="s">
        <v>79</v>
      </c>
      <c r="D17" t="s">
        <v>183</v>
      </c>
      <c r="E17" s="7">
        <v>100</v>
      </c>
      <c r="F17" t="s">
        <v>454</v>
      </c>
      <c r="H17" s="81" t="s">
        <v>165</v>
      </c>
      <c r="I17" s="329" cm="1">
        <f t="array" ref="I17">SUMPRODUCT((tb_investimentos[Movimento]="Aporte")*(YEAR(tb_investimentos[Data])=$J$2)*(MONTH(tb_investimentos[Data])=4)*tb_investimentos[Valor])</f>
        <v>0</v>
      </c>
      <c r="J17" s="329" cm="1">
        <f t="array" ref="J17">SUMPRODUCT((tb_investimentos[Movimento]="Resgate")*(YEAR(tb_investimentos[Data])=$J$2)*(MONTH(tb_investimentos[Data])=4)*tb_investimentos[Valor])</f>
        <v>0</v>
      </c>
      <c r="K17" s="329">
        <f t="shared" si="0"/>
        <v>0</v>
      </c>
      <c r="L17" s="329">
        <f t="shared" si="1"/>
        <v>0</v>
      </c>
    </row>
    <row r="18" spans="1:12" ht="19.95" customHeight="1">
      <c r="A18" s="71">
        <v>45791</v>
      </c>
      <c r="B18" t="s">
        <v>83</v>
      </c>
      <c r="C18" t="s">
        <v>82</v>
      </c>
      <c r="D18" t="s">
        <v>183</v>
      </c>
      <c r="E18" s="7">
        <v>100</v>
      </c>
      <c r="F18" t="s">
        <v>455</v>
      </c>
      <c r="H18" s="81" t="s">
        <v>166</v>
      </c>
      <c r="I18" s="329" cm="1">
        <f t="array" ref="I18">SUMPRODUCT((tb_investimentos[Movimento]="Aporte")*(YEAR(tb_investimentos[Data])=$J$2)*(MONTH(tb_investimentos[Data])=5)*tb_investimentos[Valor])</f>
        <v>0</v>
      </c>
      <c r="J18" s="329" cm="1">
        <f t="array" ref="J18">SUMPRODUCT((tb_investimentos[Movimento]="Resgate")*(YEAR(tb_investimentos[Data])=$J$2)*(MONTH(tb_investimentos[Data])=5)*tb_investimentos[Valor])</f>
        <v>0</v>
      </c>
      <c r="K18" s="329">
        <f t="shared" si="0"/>
        <v>0</v>
      </c>
      <c r="L18" s="329">
        <f t="shared" si="1"/>
        <v>0</v>
      </c>
    </row>
    <row r="19" spans="1:12" ht="19.95" customHeight="1">
      <c r="A19" s="71">
        <v>45822</v>
      </c>
      <c r="B19" t="s">
        <v>78</v>
      </c>
      <c r="C19" t="s">
        <v>77</v>
      </c>
      <c r="D19" t="s">
        <v>183</v>
      </c>
      <c r="E19" s="7">
        <v>300</v>
      </c>
      <c r="F19" t="s">
        <v>452</v>
      </c>
      <c r="H19" s="81" t="s">
        <v>167</v>
      </c>
      <c r="I19" s="329" cm="1">
        <f t="array" ref="I19">SUMPRODUCT((tb_investimentos[Movimento]="Aporte")*(YEAR(tb_investimentos[Data])=$J$2)*(MONTH(tb_investimentos[Data])=6)*tb_investimentos[Valor])</f>
        <v>0</v>
      </c>
      <c r="J19" s="329" cm="1">
        <f t="array" ref="J19">SUMPRODUCT((tb_investimentos[Movimento]="Resgate")*(YEAR(tb_investimentos[Data])=$J$2)*(MONTH(tb_investimentos[Data])=6)*tb_investimentos[Valor])</f>
        <v>0</v>
      </c>
      <c r="K19" s="329">
        <f t="shared" si="0"/>
        <v>0</v>
      </c>
      <c r="L19" s="329">
        <f t="shared" si="1"/>
        <v>0</v>
      </c>
    </row>
    <row r="20" spans="1:12" ht="19.95" customHeight="1">
      <c r="A20" s="71">
        <v>45822</v>
      </c>
      <c r="B20" t="s">
        <v>453</v>
      </c>
      <c r="C20" t="s">
        <v>79</v>
      </c>
      <c r="D20" t="s">
        <v>183</v>
      </c>
      <c r="E20" s="7">
        <v>100</v>
      </c>
      <c r="F20" t="s">
        <v>454</v>
      </c>
      <c r="H20" s="81" t="s">
        <v>168</v>
      </c>
      <c r="I20" s="329" cm="1">
        <f t="array" ref="I20">SUMPRODUCT((tb_investimentos[Movimento]="Aporte")*(YEAR(tb_investimentos[Data])=$J$2)*(MONTH(tb_investimentos[Data])=7)*tb_investimentos[Valor])</f>
        <v>0</v>
      </c>
      <c r="J20" s="329" cm="1">
        <f t="array" ref="J20">SUMPRODUCT((tb_investimentos[Movimento]="Resgate")*(YEAR(tb_investimentos[Data])=$J$2)*(MONTH(tb_investimentos[Data])=7)*tb_investimentos[Valor])</f>
        <v>0</v>
      </c>
      <c r="K20" s="329">
        <f t="shared" si="0"/>
        <v>0</v>
      </c>
      <c r="L20" s="329">
        <f t="shared" si="1"/>
        <v>0</v>
      </c>
    </row>
    <row r="21" spans="1:12" ht="19.95" customHeight="1">
      <c r="A21" s="71">
        <v>45822</v>
      </c>
      <c r="B21" t="s">
        <v>83</v>
      </c>
      <c r="C21" t="s">
        <v>82</v>
      </c>
      <c r="D21" t="s">
        <v>183</v>
      </c>
      <c r="E21" s="7">
        <v>100</v>
      </c>
      <c r="F21" t="s">
        <v>455</v>
      </c>
      <c r="H21" s="81" t="s">
        <v>169</v>
      </c>
      <c r="I21" s="329" cm="1">
        <f t="array" ref="I21">SUMPRODUCT((tb_investimentos[Movimento]="Aporte")*(YEAR(tb_investimentos[Data])=$J$2)*(MONTH(tb_investimentos[Data])=8)*tb_investimentos[Valor])</f>
        <v>0</v>
      </c>
      <c r="J21" s="329" cm="1">
        <f t="array" ref="J21">SUMPRODUCT((tb_investimentos[Movimento]="Resgate")*(YEAR(tb_investimentos[Data])=$J$2)*(MONTH(tb_investimentos[Data])=8)*tb_investimentos[Valor])</f>
        <v>0</v>
      </c>
      <c r="K21" s="329">
        <f t="shared" si="0"/>
        <v>0</v>
      </c>
      <c r="L21" s="329">
        <f t="shared" si="1"/>
        <v>0</v>
      </c>
    </row>
    <row r="22" spans="1:12" ht="19.95" customHeight="1">
      <c r="A22" s="71">
        <v>45852</v>
      </c>
      <c r="B22" t="s">
        <v>78</v>
      </c>
      <c r="C22" t="s">
        <v>77</v>
      </c>
      <c r="D22" t="s">
        <v>183</v>
      </c>
      <c r="E22" s="7">
        <v>300</v>
      </c>
      <c r="F22" t="s">
        <v>452</v>
      </c>
      <c r="H22" s="81" t="s">
        <v>170</v>
      </c>
      <c r="I22" s="329" cm="1">
        <f t="array" ref="I22">SUMPRODUCT((tb_investimentos[Movimento]="Aporte")*(YEAR(tb_investimentos[Data])=$J$2)*(MONTH(tb_investimentos[Data])=9)*tb_investimentos[Valor])</f>
        <v>0</v>
      </c>
      <c r="J22" s="329" cm="1">
        <f t="array" ref="J22">SUMPRODUCT((tb_investimentos[Movimento]="Resgate")*(YEAR(tb_investimentos[Data])=$J$2)*(MONTH(tb_investimentos[Data])=9)*tb_investimentos[Valor])</f>
        <v>0</v>
      </c>
      <c r="K22" s="329">
        <f t="shared" si="0"/>
        <v>0</v>
      </c>
      <c r="L22" s="329">
        <f t="shared" si="1"/>
        <v>0</v>
      </c>
    </row>
    <row r="23" spans="1:12" ht="19.95" customHeight="1">
      <c r="A23" s="71">
        <v>45852</v>
      </c>
      <c r="B23" t="s">
        <v>453</v>
      </c>
      <c r="C23" t="s">
        <v>79</v>
      </c>
      <c r="D23" t="s">
        <v>183</v>
      </c>
      <c r="E23" s="7">
        <v>100</v>
      </c>
      <c r="F23" t="s">
        <v>454</v>
      </c>
      <c r="H23" s="81" t="s">
        <v>171</v>
      </c>
      <c r="I23" s="329" cm="1">
        <f t="array" ref="I23">SUMPRODUCT((tb_investimentos[Movimento]="Aporte")*(YEAR(tb_investimentos[Data])=$J$2)*(MONTH(tb_investimentos[Data])=10)*tb_investimentos[Valor])</f>
        <v>0</v>
      </c>
      <c r="J23" s="329" cm="1">
        <f t="array" ref="J23">SUMPRODUCT((tb_investimentos[Movimento]="Resgate")*(YEAR(tb_investimentos[Data])=$J$2)*(MONTH(tb_investimentos[Data])=10)*tb_investimentos[Valor])</f>
        <v>0</v>
      </c>
      <c r="K23" s="329">
        <f t="shared" si="0"/>
        <v>0</v>
      </c>
      <c r="L23" s="329">
        <f t="shared" si="1"/>
        <v>0</v>
      </c>
    </row>
    <row r="24" spans="1:12">
      <c r="A24" s="71">
        <v>45852</v>
      </c>
      <c r="B24" t="s">
        <v>83</v>
      </c>
      <c r="C24" t="s">
        <v>82</v>
      </c>
      <c r="D24" t="s">
        <v>183</v>
      </c>
      <c r="E24" s="7">
        <v>100</v>
      </c>
      <c r="F24" t="s">
        <v>455</v>
      </c>
      <c r="H24" s="81" t="s">
        <v>172</v>
      </c>
      <c r="I24" s="329" cm="1">
        <f t="array" ref="I24">SUMPRODUCT((tb_investimentos[Movimento]="Aporte")*(YEAR(tb_investimentos[Data])=$J$2)*(MONTH(tb_investimentos[Data])=11)*tb_investimentos[Valor])</f>
        <v>0</v>
      </c>
      <c r="J24" s="329" cm="1">
        <f t="array" ref="J24">SUMPRODUCT((tb_investimentos[Movimento]="Resgate")*(YEAR(tb_investimentos[Data])=$J$2)*(MONTH(tb_investimentos[Data])=11)*tb_investimentos[Valor])</f>
        <v>0</v>
      </c>
      <c r="K24" s="329">
        <f t="shared" si="0"/>
        <v>0</v>
      </c>
      <c r="L24" s="329">
        <f t="shared" si="1"/>
        <v>0</v>
      </c>
    </row>
    <row r="25" spans="1:12">
      <c r="A25" s="71">
        <v>45883</v>
      </c>
      <c r="B25" t="s">
        <v>78</v>
      </c>
      <c r="C25" t="s">
        <v>77</v>
      </c>
      <c r="D25" t="s">
        <v>183</v>
      </c>
      <c r="E25" s="7">
        <v>300</v>
      </c>
      <c r="F25" t="s">
        <v>452</v>
      </c>
      <c r="H25" s="81" t="s">
        <v>173</v>
      </c>
      <c r="I25" s="329" cm="1">
        <f t="array" ref="I25">SUMPRODUCT((tb_investimentos[Movimento]="Aporte")*(YEAR(tb_investimentos[Data])=$J$2)*(MONTH(tb_investimentos[Data])=12)*tb_investimentos[Valor])</f>
        <v>0</v>
      </c>
      <c r="J25" s="329" cm="1">
        <f t="array" ref="J25">SUMPRODUCT((tb_investimentos[Movimento]="Resgate")*(YEAR(tb_investimentos[Data])=$J$2)*(MONTH(tb_investimentos[Data])=12)*tb_investimentos[Valor])</f>
        <v>0</v>
      </c>
      <c r="K25" s="329">
        <f t="shared" si="0"/>
        <v>0</v>
      </c>
      <c r="L25" s="329">
        <f t="shared" si="1"/>
        <v>0</v>
      </c>
    </row>
    <row r="26" spans="1:12">
      <c r="A26" s="71">
        <v>45883</v>
      </c>
      <c r="B26" t="s">
        <v>453</v>
      </c>
      <c r="C26" t="s">
        <v>79</v>
      </c>
      <c r="D26" t="s">
        <v>183</v>
      </c>
      <c r="E26" s="7">
        <v>100</v>
      </c>
      <c r="F26" t="s">
        <v>454</v>
      </c>
      <c r="H26" s="80" t="s">
        <v>141</v>
      </c>
      <c r="I26" s="82">
        <f>SUM(I14:I25)</f>
        <v>0</v>
      </c>
      <c r="J26" s="82">
        <f>SUM(J14:J25)</f>
        <v>0</v>
      </c>
      <c r="K26" s="82">
        <f>SUM(K14:K25)</f>
        <v>0</v>
      </c>
      <c r="L26" s="82">
        <f>L25</f>
        <v>0</v>
      </c>
    </row>
    <row r="27" spans="1:12">
      <c r="A27" s="71">
        <v>45883</v>
      </c>
      <c r="B27" t="s">
        <v>83</v>
      </c>
      <c r="C27" t="s">
        <v>82</v>
      </c>
      <c r="D27" t="s">
        <v>183</v>
      </c>
      <c r="E27" s="7">
        <v>100</v>
      </c>
      <c r="F27" t="s">
        <v>455</v>
      </c>
      <c r="K27" t="s">
        <v>334</v>
      </c>
      <c r="L27">
        <v>4000</v>
      </c>
    </row>
    <row r="28" spans="1:12">
      <c r="A28" s="71">
        <v>45914</v>
      </c>
      <c r="B28" t="s">
        <v>78</v>
      </c>
      <c r="C28" t="s">
        <v>77</v>
      </c>
      <c r="D28" t="s">
        <v>183</v>
      </c>
      <c r="E28" s="7">
        <v>300</v>
      </c>
      <c r="F28" t="s">
        <v>452</v>
      </c>
      <c r="H28" s="399" t="s">
        <v>255</v>
      </c>
      <c r="I28" s="399"/>
      <c r="J28" s="399"/>
      <c r="K28" s="399"/>
      <c r="L28" s="399"/>
    </row>
    <row r="29" spans="1:12">
      <c r="A29" s="71">
        <v>45914</v>
      </c>
      <c r="B29" t="s">
        <v>453</v>
      </c>
      <c r="C29" t="s">
        <v>79</v>
      </c>
      <c r="D29" t="s">
        <v>183</v>
      </c>
      <c r="E29" s="7">
        <v>100</v>
      </c>
      <c r="F29" t="s">
        <v>454</v>
      </c>
    </row>
    <row r="30" spans="1:12">
      <c r="A30" s="71">
        <v>45914</v>
      </c>
      <c r="B30" t="s">
        <v>83</v>
      </c>
      <c r="C30" t="s">
        <v>82</v>
      </c>
      <c r="D30" t="s">
        <v>183</v>
      </c>
      <c r="E30" s="7">
        <v>100</v>
      </c>
      <c r="F30" t="s">
        <v>455</v>
      </c>
      <c r="H30" s="80" t="s">
        <v>333</v>
      </c>
      <c r="I30" s="82"/>
      <c r="J30" s="82"/>
      <c r="K30" s="82"/>
      <c r="L30" s="82">
        <f>L26-C47+L27</f>
        <v>4000</v>
      </c>
    </row>
    <row r="31" spans="1:12">
      <c r="A31" s="71">
        <v>45944</v>
      </c>
      <c r="B31" t="s">
        <v>78</v>
      </c>
      <c r="C31" t="s">
        <v>77</v>
      </c>
      <c r="D31" t="s">
        <v>183</v>
      </c>
      <c r="E31" s="7">
        <v>300</v>
      </c>
      <c r="F31" t="s">
        <v>452</v>
      </c>
    </row>
    <row r="32" spans="1:12">
      <c r="A32" s="71">
        <v>45944</v>
      </c>
      <c r="B32" t="s">
        <v>453</v>
      </c>
      <c r="C32" t="s">
        <v>79</v>
      </c>
      <c r="D32" t="s">
        <v>183</v>
      </c>
      <c r="E32" s="7">
        <v>100</v>
      </c>
      <c r="F32" t="s">
        <v>454</v>
      </c>
    </row>
    <row r="33" spans="1:6">
      <c r="A33" s="71">
        <v>45944</v>
      </c>
      <c r="B33" t="s">
        <v>83</v>
      </c>
      <c r="C33" t="s">
        <v>82</v>
      </c>
      <c r="D33" t="s">
        <v>183</v>
      </c>
      <c r="E33" s="7">
        <v>100</v>
      </c>
      <c r="F33" t="s">
        <v>455</v>
      </c>
    </row>
    <row r="34" spans="1:6">
      <c r="A34" s="71">
        <v>45975</v>
      </c>
      <c r="B34" t="s">
        <v>78</v>
      </c>
      <c r="C34" t="s">
        <v>77</v>
      </c>
      <c r="D34" t="s">
        <v>183</v>
      </c>
      <c r="E34" s="7">
        <v>300</v>
      </c>
      <c r="F34" t="s">
        <v>452</v>
      </c>
    </row>
    <row r="35" spans="1:6">
      <c r="A35" s="71">
        <v>45975</v>
      </c>
      <c r="B35" t="s">
        <v>453</v>
      </c>
      <c r="C35" t="s">
        <v>79</v>
      </c>
      <c r="D35" t="s">
        <v>183</v>
      </c>
      <c r="E35" s="7">
        <v>100</v>
      </c>
      <c r="F35" t="s">
        <v>454</v>
      </c>
    </row>
    <row r="36" spans="1:6">
      <c r="A36" s="71">
        <v>45975</v>
      </c>
      <c r="B36" t="s">
        <v>83</v>
      </c>
      <c r="C36" t="s">
        <v>82</v>
      </c>
      <c r="D36" t="s">
        <v>183</v>
      </c>
      <c r="E36" s="7">
        <v>100</v>
      </c>
      <c r="F36" t="s">
        <v>455</v>
      </c>
    </row>
    <row r="37" spans="1:6">
      <c r="A37" s="71">
        <v>46005</v>
      </c>
      <c r="B37" t="s">
        <v>78</v>
      </c>
      <c r="C37" t="s">
        <v>77</v>
      </c>
      <c r="D37" t="s">
        <v>183</v>
      </c>
      <c r="E37" s="7">
        <v>500</v>
      </c>
      <c r="F37" t="s">
        <v>452</v>
      </c>
    </row>
    <row r="38" spans="1:6">
      <c r="A38" s="71">
        <v>46005</v>
      </c>
      <c r="B38" t="s">
        <v>453</v>
      </c>
      <c r="C38" t="s">
        <v>79</v>
      </c>
      <c r="D38" t="s">
        <v>183</v>
      </c>
      <c r="E38" s="7">
        <v>100</v>
      </c>
      <c r="F38" t="s">
        <v>454</v>
      </c>
    </row>
    <row r="39" spans="1:6">
      <c r="A39" s="71">
        <v>46005</v>
      </c>
      <c r="B39" t="s">
        <v>83</v>
      </c>
      <c r="C39" t="s">
        <v>82</v>
      </c>
      <c r="D39" t="s">
        <v>183</v>
      </c>
      <c r="E39" s="7">
        <v>100</v>
      </c>
      <c r="F39" t="s">
        <v>455</v>
      </c>
    </row>
    <row r="47" spans="1:6" ht="18">
      <c r="A47" s="173"/>
      <c r="B47" s="173"/>
      <c r="C47" s="174"/>
    </row>
    <row r="49" spans="2:3">
      <c r="B49" s="173"/>
      <c r="C49" s="176"/>
    </row>
    <row r="50" spans="2:3">
      <c r="B50" s="173"/>
      <c r="C50" s="175"/>
    </row>
  </sheetData>
  <mergeCells count="6">
    <mergeCell ref="H12:L12"/>
    <mergeCell ref="H28:L28"/>
    <mergeCell ref="A1:F1"/>
    <mergeCell ref="A2:F2"/>
    <mergeCell ref="H1:L1"/>
    <mergeCell ref="H3:L3"/>
  </mergeCells>
  <dataValidations count="5">
    <dataValidation type="list" allowBlank="1" sqref="D517:D5018" xr:uid="{00000000-0002-0000-0700-000001000000}">
      <formula1>"Aporte,Resgate,Reinvestimento,Rendimento_em_caixa"</formula1>
    </dataValidation>
    <dataValidation type="list" allowBlank="1" showInputMessage="1" showErrorMessage="1" sqref="B50:B516" xr:uid="{004DE7A2-E4BD-4B80-A793-FDD41ACBA104}">
      <formula1>"CAD_Ativos!$A$2:$A$9"</formula1>
    </dataValidation>
    <dataValidation type="list" allowBlank="1" showInputMessage="1" showErrorMessage="1" sqref="D4:D516" xr:uid="{5EA6FFE3-64F2-4B53-8141-F9E82DE1A9A2}">
      <formula1>"Aporte,Resgate,Rendimento,Transferência"</formula1>
    </dataValidation>
    <dataValidation type="list" allowBlank="1" showInputMessage="1" showErrorMessage="1" sqref="B26" xr:uid="{A8420F40-97C9-437E-B2D4-3D67D462962A}">
      <mc:AlternateContent xmlns:x12ac="http://schemas.microsoft.com/office/spreadsheetml/2011/1/ac" xmlns:mc="http://schemas.openxmlformats.org/markup-compatibility/2006">
        <mc:Choice Requires="x12ac">
          <x12ac:list>"CDB,LCI/LCA,Tesouro Direto,Ações,FIIs,ETFs,PGBL/VGBL,Criptomoedas, Consórcio"</x12ac:list>
        </mc:Choice>
        <mc:Fallback>
          <formula1>"CDB,LCI/LCA,Tesouro Direto,Ações,FIIs,ETFs,PGBL/VGBL,Criptomoedas, Consórcio"</formula1>
        </mc:Fallback>
      </mc:AlternateContent>
    </dataValidation>
    <dataValidation type="list" allowBlank="1" showInputMessage="1" showErrorMessage="1" sqref="B4:B25" xr:uid="{32B47A4E-B6F7-4D3D-A769-679A7A2EAD46}">
      <formula1>"Consório,CDB,LCI/LCA,Tesouro Direto,Ações,FIIs,ETFs,PGBL/VGBL,Criptomoedas"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0000000}">
          <x14:formula1>
            <xm:f>CAD_Investimentos!$A$2:$A$199</xm:f>
          </x14:formula1>
          <xm:sqref>C21:C5018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E10" sqref="E10"/>
    </sheetView>
  </sheetViews>
  <sheetFormatPr defaultRowHeight="14.4"/>
  <cols>
    <col min="1" max="3" width="18" customWidth="1"/>
  </cols>
  <sheetData>
    <row r="1" spans="1:3" ht="15" thickBot="1">
      <c r="A1" s="1" t="s">
        <v>3</v>
      </c>
      <c r="B1" s="1" t="s">
        <v>4</v>
      </c>
      <c r="C1" s="1" t="s">
        <v>1</v>
      </c>
    </row>
    <row r="2" spans="1:3" ht="17.399999999999999" thickBot="1">
      <c r="A2" s="2" t="s">
        <v>92</v>
      </c>
      <c r="B2" s="2" t="s">
        <v>88</v>
      </c>
      <c r="C2" s="2" t="s">
        <v>89</v>
      </c>
    </row>
    <row r="3" spans="1:3" ht="17.399999999999999" thickBot="1">
      <c r="A3" s="2" t="s">
        <v>78</v>
      </c>
      <c r="B3" s="2" t="s">
        <v>77</v>
      </c>
      <c r="C3" s="2" t="s">
        <v>90</v>
      </c>
    </row>
    <row r="4" spans="1:3" ht="17.399999999999999" thickBot="1">
      <c r="A4" s="2" t="s">
        <v>77</v>
      </c>
      <c r="B4" s="2" t="s">
        <v>77</v>
      </c>
      <c r="C4" s="2" t="s">
        <v>90</v>
      </c>
    </row>
    <row r="5" spans="1:3" ht="17.399999999999999" thickBot="1">
      <c r="A5" s="2" t="s">
        <v>80</v>
      </c>
      <c r="B5" s="2" t="s">
        <v>79</v>
      </c>
      <c r="C5" s="2" t="s">
        <v>90</v>
      </c>
    </row>
    <row r="6" spans="1:3" ht="17.399999999999999" thickBot="1">
      <c r="A6" s="2" t="s">
        <v>81</v>
      </c>
      <c r="B6" s="2" t="s">
        <v>79</v>
      </c>
      <c r="C6" s="2" t="s">
        <v>90</v>
      </c>
    </row>
    <row r="7" spans="1:3" ht="34.200000000000003" thickBot="1">
      <c r="A7" s="2" t="s">
        <v>83</v>
      </c>
      <c r="B7" s="2" t="s">
        <v>82</v>
      </c>
      <c r="C7" s="2" t="s">
        <v>90</v>
      </c>
    </row>
    <row r="8" spans="1:3" ht="17.399999999999999" thickBot="1">
      <c r="A8" s="2" t="s">
        <v>86</v>
      </c>
      <c r="B8" s="2" t="s">
        <v>84</v>
      </c>
      <c r="C8" s="2" t="s">
        <v>90</v>
      </c>
    </row>
    <row r="9" spans="1:3" ht="17.399999999999999" thickBot="1">
      <c r="A9" s="2" t="s">
        <v>91</v>
      </c>
      <c r="B9" s="2" t="s">
        <v>84</v>
      </c>
      <c r="C9" s="2" t="s">
        <v>90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showGridLines="0" topLeftCell="A2" workbookViewId="0">
      <selection activeCell="A3" sqref="A3"/>
    </sheetView>
  </sheetViews>
  <sheetFormatPr defaultRowHeight="14.4"/>
  <cols>
    <col min="1" max="3" width="18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34.200000000000003" thickBot="1">
      <c r="A2" s="2" t="s">
        <v>11</v>
      </c>
      <c r="B2" s="2" t="s">
        <v>12</v>
      </c>
      <c r="C2" s="2" t="s">
        <v>402</v>
      </c>
    </row>
    <row r="3" spans="1:3" ht="34.200000000000003" thickBot="1">
      <c r="A3" s="2" t="s">
        <v>11</v>
      </c>
      <c r="B3" s="2" t="s">
        <v>12</v>
      </c>
      <c r="C3" s="2" t="s">
        <v>403</v>
      </c>
    </row>
    <row r="4" spans="1:3" ht="34.200000000000003" thickBot="1">
      <c r="A4" s="2" t="s">
        <v>11</v>
      </c>
      <c r="B4" s="2" t="s">
        <v>12</v>
      </c>
      <c r="C4" s="2" t="s">
        <v>404</v>
      </c>
    </row>
    <row r="5" spans="1:3" ht="34.200000000000003" thickBot="1">
      <c r="A5" s="2" t="s">
        <v>11</v>
      </c>
      <c r="B5" s="2" t="s">
        <v>12</v>
      </c>
      <c r="C5" s="2" t="s">
        <v>405</v>
      </c>
    </row>
    <row r="6" spans="1:3" ht="34.200000000000003" thickBot="1">
      <c r="A6" s="2" t="s">
        <v>11</v>
      </c>
      <c r="B6" s="2" t="s">
        <v>12</v>
      </c>
      <c r="C6" s="2" t="s">
        <v>388</v>
      </c>
    </row>
    <row r="7" spans="1:3" ht="17.399999999999999" thickBot="1">
      <c r="A7" s="2" t="s">
        <v>11</v>
      </c>
      <c r="B7" s="2" t="s">
        <v>12</v>
      </c>
      <c r="C7" s="2" t="s">
        <v>401</v>
      </c>
    </row>
    <row r="8" spans="1:3" ht="34.200000000000003" thickBot="1">
      <c r="A8" s="2" t="s">
        <v>11</v>
      </c>
      <c r="B8" s="2" t="s">
        <v>13</v>
      </c>
      <c r="C8" s="2" t="s">
        <v>14</v>
      </c>
    </row>
    <row r="9" spans="1:3" ht="34.200000000000003" thickBot="1">
      <c r="A9" s="2" t="s">
        <v>11</v>
      </c>
      <c r="B9" s="2" t="s">
        <v>15</v>
      </c>
      <c r="C9" s="2" t="s">
        <v>16</v>
      </c>
    </row>
    <row r="10" spans="1:3" ht="17.399999999999999" thickBot="1">
      <c r="A10" s="2" t="s">
        <v>11</v>
      </c>
      <c r="B10" s="2" t="s">
        <v>17</v>
      </c>
      <c r="C10" s="2" t="s">
        <v>18</v>
      </c>
    </row>
    <row r="11" spans="1:3" ht="17.399999999999999" thickBot="1">
      <c r="A11" s="2" t="s">
        <v>11</v>
      </c>
      <c r="B11" s="2" t="s">
        <v>19</v>
      </c>
      <c r="C11" s="2" t="s">
        <v>20</v>
      </c>
    </row>
    <row r="12" spans="1:3" ht="17.399999999999999" thickBot="1">
      <c r="A12" s="2" t="s">
        <v>11</v>
      </c>
      <c r="B12" s="2" t="s">
        <v>19</v>
      </c>
      <c r="C12" s="2" t="s">
        <v>21</v>
      </c>
    </row>
    <row r="13" spans="1:3" ht="17.399999999999999" thickBot="1">
      <c r="A13" s="2" t="s">
        <v>22</v>
      </c>
      <c r="B13" s="2" t="s">
        <v>23</v>
      </c>
      <c r="C13" s="2" t="s">
        <v>24</v>
      </c>
    </row>
    <row r="14" spans="1:3" ht="34.200000000000003" thickBot="1">
      <c r="A14" s="2" t="s">
        <v>22</v>
      </c>
      <c r="B14" s="2" t="s">
        <v>23</v>
      </c>
      <c r="C14" s="2" t="s">
        <v>25</v>
      </c>
    </row>
    <row r="15" spans="1:3" ht="34.200000000000003" thickBot="1">
      <c r="A15" s="2" t="s">
        <v>22</v>
      </c>
      <c r="B15" s="2" t="s">
        <v>23</v>
      </c>
      <c r="C15" s="2" t="s">
        <v>26</v>
      </c>
    </row>
    <row r="16" spans="1:3" ht="17.399999999999999" thickBot="1">
      <c r="A16" s="2" t="s">
        <v>22</v>
      </c>
      <c r="B16" s="2" t="s">
        <v>23</v>
      </c>
      <c r="C16" s="2" t="s">
        <v>27</v>
      </c>
    </row>
    <row r="17" spans="1:3" ht="17.399999999999999" thickBot="1">
      <c r="A17" s="2" t="s">
        <v>22</v>
      </c>
      <c r="B17" s="2" t="s">
        <v>23</v>
      </c>
      <c r="C17" s="2" t="s">
        <v>28</v>
      </c>
    </row>
    <row r="18" spans="1:3" ht="17.399999999999999" thickBot="1">
      <c r="A18" s="2" t="s">
        <v>22</v>
      </c>
      <c r="B18" s="2" t="s">
        <v>23</v>
      </c>
      <c r="C18" s="2" t="s">
        <v>29</v>
      </c>
    </row>
    <row r="19" spans="1:3" ht="17.399999999999999" thickBot="1">
      <c r="A19" s="2" t="s">
        <v>22</v>
      </c>
      <c r="B19" s="2" t="s">
        <v>23</v>
      </c>
      <c r="C19" s="2" t="s">
        <v>30</v>
      </c>
    </row>
    <row r="20" spans="1:3" ht="17.399999999999999" thickBot="1">
      <c r="A20" s="2" t="s">
        <v>22</v>
      </c>
      <c r="B20" s="2" t="s">
        <v>23</v>
      </c>
      <c r="C20" s="2" t="s">
        <v>31</v>
      </c>
    </row>
    <row r="21" spans="1:3" ht="17.399999999999999" thickBot="1">
      <c r="A21" s="2" t="s">
        <v>22</v>
      </c>
      <c r="B21" s="2" t="s">
        <v>23</v>
      </c>
      <c r="C21" s="2" t="s">
        <v>32</v>
      </c>
    </row>
    <row r="22" spans="1:3" ht="17.399999999999999" thickBot="1">
      <c r="A22" s="2" t="s">
        <v>22</v>
      </c>
      <c r="B22" s="2" t="s">
        <v>23</v>
      </c>
      <c r="C22" s="2" t="s">
        <v>33</v>
      </c>
    </row>
    <row r="23" spans="1:3" ht="17.399999999999999" thickBot="1">
      <c r="A23" s="2" t="s">
        <v>22</v>
      </c>
      <c r="B23" s="2" t="s">
        <v>23</v>
      </c>
      <c r="C23" s="2" t="s">
        <v>34</v>
      </c>
    </row>
    <row r="24" spans="1:3" ht="17.399999999999999" thickBot="1">
      <c r="A24" s="2" t="s">
        <v>22</v>
      </c>
      <c r="B24" s="2" t="s">
        <v>23</v>
      </c>
      <c r="C24" s="2" t="s">
        <v>35</v>
      </c>
    </row>
    <row r="25" spans="1:3" ht="17.399999999999999" thickBot="1">
      <c r="A25" s="3" t="s">
        <v>22</v>
      </c>
      <c r="B25" s="3" t="s">
        <v>23</v>
      </c>
      <c r="C25" s="3" t="s">
        <v>36</v>
      </c>
    </row>
    <row r="26" spans="1:3" ht="17.399999999999999" thickBot="1">
      <c r="A26" s="2" t="s">
        <v>22</v>
      </c>
      <c r="B26" s="2" t="s">
        <v>37</v>
      </c>
      <c r="C26" s="2" t="s">
        <v>38</v>
      </c>
    </row>
    <row r="27" spans="1:3" ht="17.399999999999999" thickBot="1">
      <c r="A27" s="2" t="s">
        <v>22</v>
      </c>
      <c r="B27" s="2" t="s">
        <v>37</v>
      </c>
      <c r="C27" s="2" t="s">
        <v>39</v>
      </c>
    </row>
    <row r="28" spans="1:3" ht="17.399999999999999" thickBot="1">
      <c r="A28" s="2" t="s">
        <v>22</v>
      </c>
      <c r="B28" s="2" t="s">
        <v>37</v>
      </c>
      <c r="C28" s="2" t="s">
        <v>40</v>
      </c>
    </row>
    <row r="29" spans="1:3" ht="17.399999999999999" thickBot="1">
      <c r="A29" s="2" t="s">
        <v>22</v>
      </c>
      <c r="B29" s="2" t="s">
        <v>37</v>
      </c>
      <c r="C29" s="2" t="s">
        <v>41</v>
      </c>
    </row>
    <row r="30" spans="1:3" ht="17.399999999999999" thickBot="1">
      <c r="A30" s="2" t="s">
        <v>22</v>
      </c>
      <c r="B30" s="2" t="s">
        <v>37</v>
      </c>
      <c r="C30" s="2" t="s">
        <v>42</v>
      </c>
    </row>
    <row r="31" spans="1:3" ht="17.399999999999999" thickBot="1">
      <c r="A31" s="3" t="s">
        <v>22</v>
      </c>
      <c r="B31" s="3" t="s">
        <v>37</v>
      </c>
      <c r="C31" s="3" t="s">
        <v>43</v>
      </c>
    </row>
    <row r="32" spans="1:3" ht="17.399999999999999" thickBot="1">
      <c r="A32" s="2" t="s">
        <v>22</v>
      </c>
      <c r="B32" s="2" t="s">
        <v>44</v>
      </c>
      <c r="C32" s="2" t="s">
        <v>45</v>
      </c>
    </row>
    <row r="33" spans="1:3" ht="17.399999999999999" thickBot="1">
      <c r="A33" s="2" t="s">
        <v>22</v>
      </c>
      <c r="B33" s="2" t="s">
        <v>44</v>
      </c>
      <c r="C33" s="2" t="s">
        <v>46</v>
      </c>
    </row>
    <row r="34" spans="1:3" ht="17.399999999999999" thickBot="1">
      <c r="A34" s="2" t="s">
        <v>22</v>
      </c>
      <c r="B34" s="2" t="s">
        <v>44</v>
      </c>
      <c r="C34" s="2" t="s">
        <v>47</v>
      </c>
    </row>
    <row r="35" spans="1:3" ht="34.200000000000003" thickBot="1">
      <c r="A35" s="2" t="s">
        <v>22</v>
      </c>
      <c r="B35" s="2" t="s">
        <v>44</v>
      </c>
      <c r="C35" s="2" t="s">
        <v>48</v>
      </c>
    </row>
    <row r="36" spans="1:3" ht="17.399999999999999" thickBot="1">
      <c r="A36" s="3" t="s">
        <v>22</v>
      </c>
      <c r="B36" s="3" t="s">
        <v>44</v>
      </c>
      <c r="C36" s="3" t="s">
        <v>49</v>
      </c>
    </row>
    <row r="37" spans="1:3" ht="17.399999999999999" thickBot="1">
      <c r="A37" s="2" t="s">
        <v>22</v>
      </c>
      <c r="B37" s="2" t="s">
        <v>50</v>
      </c>
      <c r="C37" s="2" t="s">
        <v>51</v>
      </c>
    </row>
    <row r="38" spans="1:3" ht="17.399999999999999" thickBot="1">
      <c r="A38" s="2" t="s">
        <v>22</v>
      </c>
      <c r="B38" s="2" t="s">
        <v>50</v>
      </c>
      <c r="C38" s="2" t="s">
        <v>52</v>
      </c>
    </row>
    <row r="39" spans="1:3" ht="17.399999999999999" thickBot="1">
      <c r="A39" s="3" t="s">
        <v>22</v>
      </c>
      <c r="B39" s="3" t="s">
        <v>50</v>
      </c>
      <c r="C39" s="3" t="s">
        <v>53</v>
      </c>
    </row>
    <row r="40" spans="1:3" ht="34.200000000000003" thickBot="1">
      <c r="A40" s="2" t="s">
        <v>22</v>
      </c>
      <c r="B40" s="2" t="s">
        <v>54</v>
      </c>
      <c r="C40" s="2" t="s">
        <v>55</v>
      </c>
    </row>
    <row r="41" spans="1:3" ht="17.399999999999999" thickBot="1">
      <c r="A41" s="2" t="s">
        <v>22</v>
      </c>
      <c r="B41" s="2" t="s">
        <v>54</v>
      </c>
      <c r="C41" s="2" t="s">
        <v>56</v>
      </c>
    </row>
    <row r="42" spans="1:3" ht="34.200000000000003" thickBot="1">
      <c r="A42" s="3" t="s">
        <v>22</v>
      </c>
      <c r="B42" s="3" t="s">
        <v>54</v>
      </c>
      <c r="C42" s="3" t="s">
        <v>57</v>
      </c>
    </row>
    <row r="43" spans="1:3" ht="17.399999999999999" thickBot="1">
      <c r="A43" s="2" t="s">
        <v>22</v>
      </c>
      <c r="B43" s="2" t="s">
        <v>58</v>
      </c>
      <c r="C43" s="2" t="s">
        <v>59</v>
      </c>
    </row>
    <row r="44" spans="1:3" ht="17.399999999999999" thickBot="1">
      <c r="A44" s="2" t="s">
        <v>22</v>
      </c>
      <c r="B44" s="2" t="s">
        <v>58</v>
      </c>
      <c r="C44" s="2" t="s">
        <v>60</v>
      </c>
    </row>
    <row r="45" spans="1:3" ht="17.399999999999999" thickBot="1">
      <c r="A45" s="3" t="s">
        <v>22</v>
      </c>
      <c r="B45" s="3" t="s">
        <v>58</v>
      </c>
      <c r="C45" s="3" t="s">
        <v>61</v>
      </c>
    </row>
    <row r="46" spans="1:3" ht="17.399999999999999" thickBot="1">
      <c r="A46" s="2" t="s">
        <v>22</v>
      </c>
      <c r="B46" s="2" t="s">
        <v>62</v>
      </c>
      <c r="C46" s="2" t="s">
        <v>63</v>
      </c>
    </row>
    <row r="47" spans="1:3" ht="17.399999999999999" thickBot="1">
      <c r="A47" s="2" t="s">
        <v>22</v>
      </c>
      <c r="B47" s="2" t="s">
        <v>62</v>
      </c>
      <c r="C47" s="2" t="s">
        <v>64</v>
      </c>
    </row>
    <row r="48" spans="1:3" ht="17.399999999999999" thickBot="1">
      <c r="A48" s="2" t="s">
        <v>22</v>
      </c>
      <c r="B48" s="2" t="s">
        <v>62</v>
      </c>
      <c r="C48" s="2" t="s">
        <v>65</v>
      </c>
    </row>
    <row r="49" spans="1:3" ht="17.399999999999999" thickBot="1">
      <c r="A49" s="2" t="s">
        <v>22</v>
      </c>
      <c r="B49" s="2" t="s">
        <v>62</v>
      </c>
      <c r="C49" s="2" t="s">
        <v>66</v>
      </c>
    </row>
    <row r="50" spans="1:3" ht="51" thickBot="1">
      <c r="A50" s="3" t="s">
        <v>22</v>
      </c>
      <c r="B50" s="3" t="s">
        <v>62</v>
      </c>
      <c r="C50" s="3" t="s">
        <v>67</v>
      </c>
    </row>
    <row r="51" spans="1:3" ht="34.200000000000003" thickBot="1">
      <c r="A51" s="3" t="s">
        <v>22</v>
      </c>
      <c r="B51" s="3" t="s">
        <v>68</v>
      </c>
      <c r="C51" s="3" t="s">
        <v>389</v>
      </c>
    </row>
    <row r="52" spans="1:3" ht="17.399999999999999" thickBot="1">
      <c r="A52" s="2" t="s">
        <v>22</v>
      </c>
      <c r="B52" s="2" t="s">
        <v>69</v>
      </c>
      <c r="C52" s="2" t="s">
        <v>70</v>
      </c>
    </row>
    <row r="53" spans="1:3" ht="34.200000000000003" thickBot="1">
      <c r="A53" s="2" t="s">
        <v>22</v>
      </c>
      <c r="B53" s="2" t="s">
        <v>71</v>
      </c>
      <c r="C53" s="2" t="s">
        <v>72</v>
      </c>
    </row>
    <row r="54" spans="1:3" ht="17.399999999999999" thickBot="1">
      <c r="A54" s="2" t="s">
        <v>22</v>
      </c>
      <c r="B54" s="2" t="s">
        <v>21</v>
      </c>
      <c r="C54" s="2" t="s">
        <v>73</v>
      </c>
    </row>
    <row r="55" spans="1:3" ht="17.399999999999999" thickBot="1">
      <c r="A55" s="2" t="s">
        <v>22</v>
      </c>
      <c r="B55" s="2" t="s">
        <v>21</v>
      </c>
      <c r="C55" s="2" t="s">
        <v>74</v>
      </c>
    </row>
    <row r="56" spans="1:3" ht="17.399999999999999" thickBot="1">
      <c r="A56" s="3" t="s">
        <v>22</v>
      </c>
      <c r="B56" s="3" t="s">
        <v>21</v>
      </c>
      <c r="C56" s="3" t="s">
        <v>75</v>
      </c>
    </row>
    <row r="57" spans="1:3" ht="17.399999999999999" thickBot="1">
      <c r="A57" s="2" t="s">
        <v>76</v>
      </c>
      <c r="B57" s="2" t="s">
        <v>77</v>
      </c>
      <c r="C57" s="2" t="s">
        <v>78</v>
      </c>
    </row>
    <row r="58" spans="1:3" ht="17.399999999999999" thickBot="1">
      <c r="A58" s="2" t="s">
        <v>76</v>
      </c>
      <c r="B58" s="2" t="s">
        <v>77</v>
      </c>
      <c r="C58" s="2" t="s">
        <v>77</v>
      </c>
    </row>
    <row r="59" spans="1:3" ht="17.399999999999999" thickBot="1">
      <c r="A59" s="2" t="s">
        <v>76</v>
      </c>
      <c r="B59" s="2" t="s">
        <v>79</v>
      </c>
      <c r="C59" s="2" t="s">
        <v>80</v>
      </c>
    </row>
    <row r="60" spans="1:3" ht="17.399999999999999" thickBot="1">
      <c r="A60" s="2" t="s">
        <v>76</v>
      </c>
      <c r="B60" s="2" t="s">
        <v>79</v>
      </c>
      <c r="C60" s="2" t="s">
        <v>81</v>
      </c>
    </row>
    <row r="61" spans="1:3" ht="34.200000000000003" thickBot="1">
      <c r="A61" s="2" t="s">
        <v>76</v>
      </c>
      <c r="B61" s="2" t="s">
        <v>82</v>
      </c>
      <c r="C61" s="2" t="s">
        <v>83</v>
      </c>
    </row>
    <row r="62" spans="1:3" ht="34.200000000000003" thickBot="1">
      <c r="A62" s="2" t="s">
        <v>76</v>
      </c>
      <c r="B62" s="2" t="s">
        <v>84</v>
      </c>
      <c r="C62" s="2" t="s">
        <v>85</v>
      </c>
    </row>
    <row r="63" spans="1:3" ht="17.399999999999999" thickBot="1">
      <c r="A63" s="2" t="s">
        <v>76</v>
      </c>
      <c r="B63" s="2" t="s">
        <v>84</v>
      </c>
      <c r="C63" s="2" t="s">
        <v>86</v>
      </c>
    </row>
    <row r="64" spans="1:3" ht="33.6">
      <c r="A64" s="3" t="s">
        <v>76</v>
      </c>
      <c r="B64" s="3" t="s">
        <v>84</v>
      </c>
      <c r="C64" s="3" t="s">
        <v>508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79FF-DDB3-43E2-9503-FE108D3DEAFB}">
  <dimension ref="A1:U20"/>
  <sheetViews>
    <sheetView workbookViewId="0">
      <selection activeCell="G20" sqref="G20"/>
    </sheetView>
  </sheetViews>
  <sheetFormatPr defaultRowHeight="14.4"/>
  <cols>
    <col min="1" max="1" width="13.21875" bestFit="1" customWidth="1"/>
    <col min="2" max="2" width="20" bestFit="1" customWidth="1"/>
    <col min="3" max="3" width="16.88671875" bestFit="1" customWidth="1"/>
    <col min="4" max="4" width="19.33203125" bestFit="1" customWidth="1"/>
    <col min="5" max="5" width="15.44140625" bestFit="1" customWidth="1"/>
    <col min="6" max="6" width="12.21875" bestFit="1" customWidth="1"/>
    <col min="7" max="7" width="20.109375" bestFit="1" customWidth="1"/>
    <col min="8" max="8" width="27.44140625" bestFit="1" customWidth="1"/>
    <col min="9" max="9" width="18.77734375" bestFit="1" customWidth="1"/>
    <col min="10" max="10" width="19.5546875" bestFit="1" customWidth="1"/>
    <col min="11" max="11" width="18" bestFit="1" customWidth="1"/>
    <col min="12" max="12" width="9.6640625" bestFit="1" customWidth="1"/>
    <col min="13" max="13" width="15.5546875" bestFit="1" customWidth="1"/>
    <col min="14" max="14" width="13.33203125" bestFit="1" customWidth="1"/>
    <col min="15" max="15" width="17.5546875" bestFit="1" customWidth="1"/>
    <col min="16" max="16" width="11.21875" bestFit="1" customWidth="1"/>
    <col min="17" max="17" width="15.109375" bestFit="1" customWidth="1"/>
    <col min="18" max="18" width="13.109375" bestFit="1" customWidth="1"/>
    <col min="19" max="19" width="13.77734375" bestFit="1" customWidth="1"/>
    <col min="20" max="20" width="11.33203125" bestFit="1" customWidth="1"/>
    <col min="21" max="21" width="16.77734375" bestFit="1" customWidth="1"/>
  </cols>
  <sheetData>
    <row r="1" spans="1:21">
      <c r="A1" t="s">
        <v>12</v>
      </c>
      <c r="B1" s="4" t="s">
        <v>12</v>
      </c>
      <c r="C1" t="s">
        <v>13</v>
      </c>
      <c r="D1" t="s">
        <v>15</v>
      </c>
      <c r="E1" t="s">
        <v>17</v>
      </c>
      <c r="F1" t="s">
        <v>19</v>
      </c>
      <c r="G1" t="s">
        <v>23</v>
      </c>
      <c r="H1" t="s">
        <v>37</v>
      </c>
      <c r="I1" t="s">
        <v>44</v>
      </c>
      <c r="J1" t="s">
        <v>50</v>
      </c>
      <c r="K1" t="s">
        <v>54</v>
      </c>
      <c r="L1" t="s">
        <v>58</v>
      </c>
      <c r="M1" t="s">
        <v>62</v>
      </c>
      <c r="N1" t="s">
        <v>68</v>
      </c>
      <c r="O1" t="s">
        <v>69</v>
      </c>
      <c r="P1" t="s">
        <v>71</v>
      </c>
      <c r="Q1" t="s">
        <v>124</v>
      </c>
      <c r="R1" t="s">
        <v>125</v>
      </c>
      <c r="S1" t="s">
        <v>126</v>
      </c>
      <c r="T1" t="s">
        <v>82</v>
      </c>
      <c r="U1" t="s">
        <v>127</v>
      </c>
    </row>
    <row r="2" spans="1:21">
      <c r="A2" t="s">
        <v>13</v>
      </c>
      <c r="B2" s="4" t="s">
        <v>402</v>
      </c>
      <c r="C2" s="4" t="s">
        <v>14</v>
      </c>
      <c r="D2" s="4" t="s">
        <v>16</v>
      </c>
      <c r="E2" s="4" t="s">
        <v>18</v>
      </c>
      <c r="F2" s="4" t="s">
        <v>20</v>
      </c>
      <c r="G2" s="4" t="s">
        <v>24</v>
      </c>
      <c r="H2" s="4" t="s">
        <v>101</v>
      </c>
      <c r="I2" s="4" t="s">
        <v>103</v>
      </c>
      <c r="J2" s="4" t="s">
        <v>51</v>
      </c>
      <c r="K2" s="4" t="s">
        <v>55</v>
      </c>
      <c r="L2" s="4" t="s">
        <v>59</v>
      </c>
      <c r="M2" s="4" t="s">
        <v>63</v>
      </c>
      <c r="N2" s="4" t="s">
        <v>113</v>
      </c>
      <c r="O2" s="4" t="s">
        <v>114</v>
      </c>
      <c r="P2" s="4" t="s">
        <v>117</v>
      </c>
      <c r="Q2" s="4" t="s">
        <v>73</v>
      </c>
      <c r="R2" s="4" t="s">
        <v>78</v>
      </c>
      <c r="S2" s="4" t="s">
        <v>80</v>
      </c>
      <c r="T2" s="4" t="s">
        <v>121</v>
      </c>
      <c r="U2" s="4" t="s">
        <v>122</v>
      </c>
    </row>
    <row r="3" spans="1:21">
      <c r="A3" t="s">
        <v>15</v>
      </c>
      <c r="B3" s="4" t="s">
        <v>403</v>
      </c>
      <c r="F3" t="s">
        <v>21</v>
      </c>
      <c r="G3" t="s">
        <v>25</v>
      </c>
      <c r="H3" t="s">
        <v>102</v>
      </c>
      <c r="I3" t="s">
        <v>104</v>
      </c>
      <c r="J3" t="s">
        <v>52</v>
      </c>
      <c r="K3" t="s">
        <v>109</v>
      </c>
      <c r="L3" t="s">
        <v>60</v>
      </c>
      <c r="M3" t="s">
        <v>64</v>
      </c>
      <c r="O3" t="s">
        <v>115</v>
      </c>
      <c r="Q3" t="s">
        <v>118</v>
      </c>
      <c r="R3" t="s">
        <v>120</v>
      </c>
      <c r="S3" t="s">
        <v>81</v>
      </c>
    </row>
    <row r="4" spans="1:21">
      <c r="A4" t="s">
        <v>17</v>
      </c>
      <c r="B4" s="4" t="s">
        <v>404</v>
      </c>
      <c r="G4" t="s">
        <v>93</v>
      </c>
      <c r="H4" t="s">
        <v>42</v>
      </c>
      <c r="I4" t="s">
        <v>105</v>
      </c>
      <c r="J4" t="s">
        <v>108</v>
      </c>
      <c r="K4" t="s">
        <v>110</v>
      </c>
      <c r="L4" t="s">
        <v>61</v>
      </c>
      <c r="M4" t="s">
        <v>65</v>
      </c>
      <c r="O4" t="s">
        <v>116</v>
      </c>
      <c r="Q4" t="s">
        <v>119</v>
      </c>
    </row>
    <row r="5" spans="1:21">
      <c r="A5" t="s">
        <v>19</v>
      </c>
      <c r="B5" s="4" t="s">
        <v>405</v>
      </c>
      <c r="G5" t="s">
        <v>27</v>
      </c>
      <c r="I5" t="s">
        <v>45</v>
      </c>
      <c r="J5" t="s">
        <v>21</v>
      </c>
      <c r="K5" t="s">
        <v>111</v>
      </c>
      <c r="M5" t="s">
        <v>66</v>
      </c>
      <c r="Q5" t="s">
        <v>21</v>
      </c>
    </row>
    <row r="6" spans="1:21">
      <c r="A6" t="s">
        <v>23</v>
      </c>
      <c r="B6" s="4" t="s">
        <v>388</v>
      </c>
      <c r="G6" t="s">
        <v>28</v>
      </c>
      <c r="I6" t="s">
        <v>106</v>
      </c>
      <c r="K6" t="s">
        <v>21</v>
      </c>
      <c r="M6" t="s">
        <v>112</v>
      </c>
    </row>
    <row r="7" spans="1:21">
      <c r="A7" t="s">
        <v>37</v>
      </c>
      <c r="B7" t="s">
        <v>401</v>
      </c>
      <c r="G7" t="s">
        <v>29</v>
      </c>
      <c r="I7" t="s">
        <v>107</v>
      </c>
    </row>
    <row r="8" spans="1:21">
      <c r="A8" t="s">
        <v>44</v>
      </c>
      <c r="G8" t="s">
        <v>30</v>
      </c>
    </row>
    <row r="9" spans="1:21">
      <c r="A9" t="s">
        <v>50</v>
      </c>
      <c r="G9" t="s">
        <v>94</v>
      </c>
    </row>
    <row r="10" spans="1:21">
      <c r="A10" t="s">
        <v>54</v>
      </c>
      <c r="G10" t="s">
        <v>95</v>
      </c>
    </row>
    <row r="11" spans="1:21">
      <c r="A11" t="s">
        <v>58</v>
      </c>
      <c r="G11" t="s">
        <v>96</v>
      </c>
    </row>
    <row r="12" spans="1:21">
      <c r="A12" t="s">
        <v>62</v>
      </c>
      <c r="G12" t="s">
        <v>32</v>
      </c>
    </row>
    <row r="13" spans="1:21">
      <c r="A13" t="s">
        <v>68</v>
      </c>
      <c r="G13" t="s">
        <v>97</v>
      </c>
    </row>
    <row r="14" spans="1:21">
      <c r="A14" t="s">
        <v>69</v>
      </c>
      <c r="G14" t="s">
        <v>98</v>
      </c>
    </row>
    <row r="15" spans="1:21">
      <c r="A15" t="s">
        <v>71</v>
      </c>
      <c r="G15" t="s">
        <v>99</v>
      </c>
    </row>
    <row r="16" spans="1:21">
      <c r="A16" t="s">
        <v>21</v>
      </c>
      <c r="G16" t="s">
        <v>100</v>
      </c>
    </row>
    <row r="17" spans="1:1">
      <c r="A17" t="s">
        <v>77</v>
      </c>
    </row>
    <row r="18" spans="1:1">
      <c r="A18" t="s">
        <v>79</v>
      </c>
    </row>
    <row r="19" spans="1:1">
      <c r="A19" t="s">
        <v>82</v>
      </c>
    </row>
    <row r="20" spans="1:1">
      <c r="A20" t="s">
        <v>84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CDB4-ABF9-493F-A8A8-A43BA1D9CB44}">
  <dimension ref="A1:G2959"/>
  <sheetViews>
    <sheetView workbookViewId="0">
      <selection activeCell="D6" sqref="D6"/>
    </sheetView>
  </sheetViews>
  <sheetFormatPr defaultRowHeight="14.4"/>
  <cols>
    <col min="1" max="1" width="10.109375" bestFit="1" customWidth="1"/>
    <col min="4" max="4" width="10.88671875" customWidth="1"/>
    <col min="6" max="6" width="9.6640625" customWidth="1"/>
    <col min="7" max="7" width="10.77734375" customWidth="1"/>
  </cols>
  <sheetData>
    <row r="1" spans="1:7">
      <c r="A1" t="s">
        <v>8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s="6">
        <f>DATE(2024,1,1)</f>
        <v>45292</v>
      </c>
      <c r="B2" s="4">
        <f>YEAR(A2)</f>
        <v>2024</v>
      </c>
      <c r="C2" s="4">
        <f>MONTH(A2)</f>
        <v>1</v>
      </c>
      <c r="D2" s="4" t="str">
        <f>TEXT(A2,"mmmm")</f>
        <v>janeiro</v>
      </c>
      <c r="E2" s="4">
        <f>DAY(A2)</f>
        <v>1</v>
      </c>
      <c r="F2" s="4">
        <f>WEEKNUM(A2,2)</f>
        <v>1</v>
      </c>
      <c r="G2" s="4">
        <f>INT((MONTH(A2)-1)/3)+1</f>
        <v>1</v>
      </c>
    </row>
    <row r="3" spans="1:7">
      <c r="A3" s="6">
        <f>A2+1</f>
        <v>45293</v>
      </c>
    </row>
    <row r="4" spans="1:7">
      <c r="A4" s="6">
        <f t="shared" ref="A4:A67" si="0">A3+1</f>
        <v>45294</v>
      </c>
    </row>
    <row r="5" spans="1:7">
      <c r="A5" s="6">
        <f t="shared" si="0"/>
        <v>45295</v>
      </c>
    </row>
    <row r="6" spans="1:7">
      <c r="A6" s="6">
        <f t="shared" si="0"/>
        <v>45296</v>
      </c>
    </row>
    <row r="7" spans="1:7">
      <c r="A7" s="6">
        <f t="shared" si="0"/>
        <v>45297</v>
      </c>
    </row>
    <row r="8" spans="1:7">
      <c r="A8" s="6">
        <f t="shared" si="0"/>
        <v>45298</v>
      </c>
    </row>
    <row r="9" spans="1:7">
      <c r="A9" s="6">
        <f t="shared" si="0"/>
        <v>45299</v>
      </c>
    </row>
    <row r="10" spans="1:7">
      <c r="A10" s="6">
        <f t="shared" si="0"/>
        <v>45300</v>
      </c>
    </row>
    <row r="11" spans="1:7">
      <c r="A11" s="6">
        <f t="shared" si="0"/>
        <v>45301</v>
      </c>
    </row>
    <row r="12" spans="1:7">
      <c r="A12" s="6">
        <f t="shared" si="0"/>
        <v>45302</v>
      </c>
    </row>
    <row r="13" spans="1:7">
      <c r="A13" s="6">
        <f t="shared" si="0"/>
        <v>45303</v>
      </c>
    </row>
    <row r="14" spans="1:7">
      <c r="A14" s="6">
        <f t="shared" si="0"/>
        <v>45304</v>
      </c>
    </row>
    <row r="15" spans="1:7">
      <c r="A15" s="6">
        <f t="shared" si="0"/>
        <v>45305</v>
      </c>
    </row>
    <row r="16" spans="1:7">
      <c r="A16" s="6">
        <f t="shared" si="0"/>
        <v>45306</v>
      </c>
    </row>
    <row r="17" spans="1:1">
      <c r="A17" s="6">
        <f t="shared" si="0"/>
        <v>45307</v>
      </c>
    </row>
    <row r="18" spans="1:1">
      <c r="A18" s="6">
        <f t="shared" si="0"/>
        <v>45308</v>
      </c>
    </row>
    <row r="19" spans="1:1">
      <c r="A19" s="6">
        <f t="shared" si="0"/>
        <v>45309</v>
      </c>
    </row>
    <row r="20" spans="1:1">
      <c r="A20" s="6">
        <f t="shared" si="0"/>
        <v>45310</v>
      </c>
    </row>
    <row r="21" spans="1:1">
      <c r="A21" s="6">
        <f t="shared" si="0"/>
        <v>45311</v>
      </c>
    </row>
    <row r="22" spans="1:1">
      <c r="A22" s="6">
        <f t="shared" si="0"/>
        <v>45312</v>
      </c>
    </row>
    <row r="23" spans="1:1">
      <c r="A23" s="6">
        <f t="shared" si="0"/>
        <v>45313</v>
      </c>
    </row>
    <row r="24" spans="1:1">
      <c r="A24" s="6">
        <f t="shared" si="0"/>
        <v>45314</v>
      </c>
    </row>
    <row r="25" spans="1:1">
      <c r="A25" s="6">
        <f t="shared" si="0"/>
        <v>45315</v>
      </c>
    </row>
    <row r="26" spans="1:1">
      <c r="A26" s="6">
        <f t="shared" si="0"/>
        <v>45316</v>
      </c>
    </row>
    <row r="27" spans="1:1">
      <c r="A27" s="6">
        <f t="shared" si="0"/>
        <v>45317</v>
      </c>
    </row>
    <row r="28" spans="1:1">
      <c r="A28" s="6">
        <f t="shared" si="0"/>
        <v>45318</v>
      </c>
    </row>
    <row r="29" spans="1:1">
      <c r="A29" s="6">
        <f t="shared" si="0"/>
        <v>45319</v>
      </c>
    </row>
    <row r="30" spans="1:1">
      <c r="A30" s="6">
        <f t="shared" si="0"/>
        <v>45320</v>
      </c>
    </row>
    <row r="31" spans="1:1">
      <c r="A31" s="6">
        <f t="shared" si="0"/>
        <v>45321</v>
      </c>
    </row>
    <row r="32" spans="1:1">
      <c r="A32" s="6">
        <f t="shared" si="0"/>
        <v>45322</v>
      </c>
    </row>
    <row r="33" spans="1:1">
      <c r="A33" s="6">
        <f t="shared" si="0"/>
        <v>45323</v>
      </c>
    </row>
    <row r="34" spans="1:1">
      <c r="A34" s="6">
        <f t="shared" si="0"/>
        <v>45324</v>
      </c>
    </row>
    <row r="35" spans="1:1">
      <c r="A35" s="6">
        <f t="shared" si="0"/>
        <v>45325</v>
      </c>
    </row>
    <row r="36" spans="1:1">
      <c r="A36" s="6">
        <f t="shared" si="0"/>
        <v>45326</v>
      </c>
    </row>
    <row r="37" spans="1:1">
      <c r="A37" s="6">
        <f t="shared" si="0"/>
        <v>45327</v>
      </c>
    </row>
    <row r="38" spans="1:1">
      <c r="A38" s="6">
        <f t="shared" si="0"/>
        <v>45328</v>
      </c>
    </row>
    <row r="39" spans="1:1">
      <c r="A39" s="6">
        <f t="shared" si="0"/>
        <v>45329</v>
      </c>
    </row>
    <row r="40" spans="1:1">
      <c r="A40" s="6">
        <f t="shared" si="0"/>
        <v>45330</v>
      </c>
    </row>
    <row r="41" spans="1:1">
      <c r="A41" s="6">
        <f t="shared" si="0"/>
        <v>45331</v>
      </c>
    </row>
    <row r="42" spans="1:1">
      <c r="A42" s="6">
        <f t="shared" si="0"/>
        <v>45332</v>
      </c>
    </row>
    <row r="43" spans="1:1">
      <c r="A43" s="6">
        <f t="shared" si="0"/>
        <v>45333</v>
      </c>
    </row>
    <row r="44" spans="1:1">
      <c r="A44" s="6">
        <f t="shared" si="0"/>
        <v>45334</v>
      </c>
    </row>
    <row r="45" spans="1:1">
      <c r="A45" s="6">
        <f t="shared" si="0"/>
        <v>45335</v>
      </c>
    </row>
    <row r="46" spans="1:1">
      <c r="A46" s="6">
        <f t="shared" si="0"/>
        <v>45336</v>
      </c>
    </row>
    <row r="47" spans="1:1">
      <c r="A47" s="6">
        <f t="shared" si="0"/>
        <v>45337</v>
      </c>
    </row>
    <row r="48" spans="1:1">
      <c r="A48" s="6">
        <f t="shared" si="0"/>
        <v>45338</v>
      </c>
    </row>
    <row r="49" spans="1:1">
      <c r="A49" s="6">
        <f t="shared" si="0"/>
        <v>45339</v>
      </c>
    </row>
    <row r="50" spans="1:1">
      <c r="A50" s="6">
        <f t="shared" si="0"/>
        <v>45340</v>
      </c>
    </row>
    <row r="51" spans="1:1">
      <c r="A51" s="6">
        <f t="shared" si="0"/>
        <v>45341</v>
      </c>
    </row>
    <row r="52" spans="1:1">
      <c r="A52" s="6">
        <f t="shared" si="0"/>
        <v>45342</v>
      </c>
    </row>
    <row r="53" spans="1:1">
      <c r="A53" s="6">
        <f t="shared" si="0"/>
        <v>45343</v>
      </c>
    </row>
    <row r="54" spans="1:1">
      <c r="A54" s="6">
        <f t="shared" si="0"/>
        <v>45344</v>
      </c>
    </row>
    <row r="55" spans="1:1">
      <c r="A55" s="6">
        <f t="shared" si="0"/>
        <v>45345</v>
      </c>
    </row>
    <row r="56" spans="1:1">
      <c r="A56" s="6">
        <f t="shared" si="0"/>
        <v>45346</v>
      </c>
    </row>
    <row r="57" spans="1:1">
      <c r="A57" s="6">
        <f t="shared" si="0"/>
        <v>45347</v>
      </c>
    </row>
    <row r="58" spans="1:1">
      <c r="A58" s="6">
        <f t="shared" si="0"/>
        <v>45348</v>
      </c>
    </row>
    <row r="59" spans="1:1">
      <c r="A59" s="6">
        <f t="shared" si="0"/>
        <v>45349</v>
      </c>
    </row>
    <row r="60" spans="1:1">
      <c r="A60" s="6">
        <f t="shared" si="0"/>
        <v>45350</v>
      </c>
    </row>
    <row r="61" spans="1:1">
      <c r="A61" s="6">
        <f t="shared" si="0"/>
        <v>45351</v>
      </c>
    </row>
    <row r="62" spans="1:1">
      <c r="A62" s="6">
        <f t="shared" si="0"/>
        <v>45352</v>
      </c>
    </row>
    <row r="63" spans="1:1">
      <c r="A63" s="6">
        <f t="shared" si="0"/>
        <v>45353</v>
      </c>
    </row>
    <row r="64" spans="1:1">
      <c r="A64" s="6">
        <f t="shared" si="0"/>
        <v>45354</v>
      </c>
    </row>
    <row r="65" spans="1:1">
      <c r="A65" s="6">
        <f t="shared" si="0"/>
        <v>45355</v>
      </c>
    </row>
    <row r="66" spans="1:1">
      <c r="A66" s="6">
        <f t="shared" si="0"/>
        <v>45356</v>
      </c>
    </row>
    <row r="67" spans="1:1">
      <c r="A67" s="6">
        <f t="shared" si="0"/>
        <v>45357</v>
      </c>
    </row>
    <row r="68" spans="1:1">
      <c r="A68" s="6">
        <f t="shared" ref="A68:A131" si="1">A67+1</f>
        <v>45358</v>
      </c>
    </row>
    <row r="69" spans="1:1">
      <c r="A69" s="6">
        <f t="shared" si="1"/>
        <v>45359</v>
      </c>
    </row>
    <row r="70" spans="1:1">
      <c r="A70" s="6">
        <f t="shared" si="1"/>
        <v>45360</v>
      </c>
    </row>
    <row r="71" spans="1:1">
      <c r="A71" s="6">
        <f t="shared" si="1"/>
        <v>45361</v>
      </c>
    </row>
    <row r="72" spans="1:1">
      <c r="A72" s="6">
        <f t="shared" si="1"/>
        <v>45362</v>
      </c>
    </row>
    <row r="73" spans="1:1">
      <c r="A73" s="6">
        <f t="shared" si="1"/>
        <v>45363</v>
      </c>
    </row>
    <row r="74" spans="1:1">
      <c r="A74" s="6">
        <f t="shared" si="1"/>
        <v>45364</v>
      </c>
    </row>
    <row r="75" spans="1:1">
      <c r="A75" s="6">
        <f t="shared" si="1"/>
        <v>45365</v>
      </c>
    </row>
    <row r="76" spans="1:1">
      <c r="A76" s="6">
        <f t="shared" si="1"/>
        <v>45366</v>
      </c>
    </row>
    <row r="77" spans="1:1">
      <c r="A77" s="6">
        <f t="shared" si="1"/>
        <v>45367</v>
      </c>
    </row>
    <row r="78" spans="1:1">
      <c r="A78" s="6">
        <f t="shared" si="1"/>
        <v>45368</v>
      </c>
    </row>
    <row r="79" spans="1:1">
      <c r="A79" s="6">
        <f t="shared" si="1"/>
        <v>45369</v>
      </c>
    </row>
    <row r="80" spans="1:1">
      <c r="A80" s="6">
        <f t="shared" si="1"/>
        <v>45370</v>
      </c>
    </row>
    <row r="81" spans="1:1">
      <c r="A81" s="6">
        <f t="shared" si="1"/>
        <v>45371</v>
      </c>
    </row>
    <row r="82" spans="1:1">
      <c r="A82" s="6">
        <f t="shared" si="1"/>
        <v>45372</v>
      </c>
    </row>
    <row r="83" spans="1:1">
      <c r="A83" s="6">
        <f t="shared" si="1"/>
        <v>45373</v>
      </c>
    </row>
    <row r="84" spans="1:1">
      <c r="A84" s="6">
        <f t="shared" si="1"/>
        <v>45374</v>
      </c>
    </row>
    <row r="85" spans="1:1">
      <c r="A85" s="6">
        <f t="shared" si="1"/>
        <v>45375</v>
      </c>
    </row>
    <row r="86" spans="1:1">
      <c r="A86" s="6">
        <f t="shared" si="1"/>
        <v>45376</v>
      </c>
    </row>
    <row r="87" spans="1:1">
      <c r="A87" s="6">
        <f t="shared" si="1"/>
        <v>45377</v>
      </c>
    </row>
    <row r="88" spans="1:1">
      <c r="A88" s="6">
        <f t="shared" si="1"/>
        <v>45378</v>
      </c>
    </row>
    <row r="89" spans="1:1">
      <c r="A89" s="6">
        <f t="shared" si="1"/>
        <v>45379</v>
      </c>
    </row>
    <row r="90" spans="1:1">
      <c r="A90" s="6">
        <f t="shared" si="1"/>
        <v>45380</v>
      </c>
    </row>
    <row r="91" spans="1:1">
      <c r="A91" s="6">
        <f t="shared" si="1"/>
        <v>45381</v>
      </c>
    </row>
    <row r="92" spans="1:1">
      <c r="A92" s="6">
        <f t="shared" si="1"/>
        <v>45382</v>
      </c>
    </row>
    <row r="93" spans="1:1">
      <c r="A93" s="6">
        <f t="shared" si="1"/>
        <v>45383</v>
      </c>
    </row>
    <row r="94" spans="1:1">
      <c r="A94" s="6">
        <f t="shared" si="1"/>
        <v>45384</v>
      </c>
    </row>
    <row r="95" spans="1:1">
      <c r="A95" s="6">
        <f t="shared" si="1"/>
        <v>45385</v>
      </c>
    </row>
    <row r="96" spans="1:1">
      <c r="A96" s="6">
        <f t="shared" si="1"/>
        <v>45386</v>
      </c>
    </row>
    <row r="97" spans="1:1">
      <c r="A97" s="6">
        <f t="shared" si="1"/>
        <v>45387</v>
      </c>
    </row>
    <row r="98" spans="1:1">
      <c r="A98" s="6">
        <f t="shared" si="1"/>
        <v>45388</v>
      </c>
    </row>
    <row r="99" spans="1:1">
      <c r="A99" s="6">
        <f t="shared" si="1"/>
        <v>45389</v>
      </c>
    </row>
    <row r="100" spans="1:1">
      <c r="A100" s="6">
        <f t="shared" si="1"/>
        <v>45390</v>
      </c>
    </row>
    <row r="101" spans="1:1">
      <c r="A101" s="6">
        <f t="shared" si="1"/>
        <v>45391</v>
      </c>
    </row>
    <row r="102" spans="1:1">
      <c r="A102" s="6">
        <f t="shared" si="1"/>
        <v>45392</v>
      </c>
    </row>
    <row r="103" spans="1:1">
      <c r="A103" s="6">
        <f t="shared" si="1"/>
        <v>45393</v>
      </c>
    </row>
    <row r="104" spans="1:1">
      <c r="A104" s="6">
        <f t="shared" si="1"/>
        <v>45394</v>
      </c>
    </row>
    <row r="105" spans="1:1">
      <c r="A105" s="6">
        <f t="shared" si="1"/>
        <v>45395</v>
      </c>
    </row>
    <row r="106" spans="1:1">
      <c r="A106" s="6">
        <f t="shared" si="1"/>
        <v>45396</v>
      </c>
    </row>
    <row r="107" spans="1:1">
      <c r="A107" s="6">
        <f t="shared" si="1"/>
        <v>45397</v>
      </c>
    </row>
    <row r="108" spans="1:1">
      <c r="A108" s="6">
        <f t="shared" si="1"/>
        <v>45398</v>
      </c>
    </row>
    <row r="109" spans="1:1">
      <c r="A109" s="6">
        <f t="shared" si="1"/>
        <v>45399</v>
      </c>
    </row>
    <row r="110" spans="1:1">
      <c r="A110" s="6">
        <f t="shared" si="1"/>
        <v>45400</v>
      </c>
    </row>
    <row r="111" spans="1:1">
      <c r="A111" s="6">
        <f t="shared" si="1"/>
        <v>45401</v>
      </c>
    </row>
    <row r="112" spans="1:1">
      <c r="A112" s="6">
        <f t="shared" si="1"/>
        <v>45402</v>
      </c>
    </row>
    <row r="113" spans="1:1">
      <c r="A113" s="6">
        <f t="shared" si="1"/>
        <v>45403</v>
      </c>
    </row>
    <row r="114" spans="1:1">
      <c r="A114" s="6">
        <f t="shared" si="1"/>
        <v>45404</v>
      </c>
    </row>
    <row r="115" spans="1:1">
      <c r="A115" s="6">
        <f t="shared" si="1"/>
        <v>45405</v>
      </c>
    </row>
    <row r="116" spans="1:1">
      <c r="A116" s="6">
        <f t="shared" si="1"/>
        <v>45406</v>
      </c>
    </row>
    <row r="117" spans="1:1">
      <c r="A117" s="6">
        <f t="shared" si="1"/>
        <v>45407</v>
      </c>
    </row>
    <row r="118" spans="1:1">
      <c r="A118" s="6">
        <f t="shared" si="1"/>
        <v>45408</v>
      </c>
    </row>
    <row r="119" spans="1:1">
      <c r="A119" s="6">
        <f t="shared" si="1"/>
        <v>45409</v>
      </c>
    </row>
    <row r="120" spans="1:1">
      <c r="A120" s="6">
        <f t="shared" si="1"/>
        <v>45410</v>
      </c>
    </row>
    <row r="121" spans="1:1">
      <c r="A121" s="6">
        <f t="shared" si="1"/>
        <v>45411</v>
      </c>
    </row>
    <row r="122" spans="1:1">
      <c r="A122" s="6">
        <f t="shared" si="1"/>
        <v>45412</v>
      </c>
    </row>
    <row r="123" spans="1:1">
      <c r="A123" s="6">
        <f t="shared" si="1"/>
        <v>45413</v>
      </c>
    </row>
    <row r="124" spans="1:1">
      <c r="A124" s="6">
        <f t="shared" si="1"/>
        <v>45414</v>
      </c>
    </row>
    <row r="125" spans="1:1">
      <c r="A125" s="6">
        <f t="shared" si="1"/>
        <v>45415</v>
      </c>
    </row>
    <row r="126" spans="1:1">
      <c r="A126" s="6">
        <f t="shared" si="1"/>
        <v>45416</v>
      </c>
    </row>
    <row r="127" spans="1:1">
      <c r="A127" s="6">
        <f t="shared" si="1"/>
        <v>45417</v>
      </c>
    </row>
    <row r="128" spans="1:1">
      <c r="A128" s="6">
        <f t="shared" si="1"/>
        <v>45418</v>
      </c>
    </row>
    <row r="129" spans="1:1">
      <c r="A129" s="6">
        <f t="shared" si="1"/>
        <v>45419</v>
      </c>
    </row>
    <row r="130" spans="1:1">
      <c r="A130" s="6">
        <f t="shared" si="1"/>
        <v>45420</v>
      </c>
    </row>
    <row r="131" spans="1:1">
      <c r="A131" s="6">
        <f t="shared" si="1"/>
        <v>45421</v>
      </c>
    </row>
    <row r="132" spans="1:1">
      <c r="A132" s="6">
        <f t="shared" ref="A132:A195" si="2">A131+1</f>
        <v>45422</v>
      </c>
    </row>
    <row r="133" spans="1:1">
      <c r="A133" s="6">
        <f t="shared" si="2"/>
        <v>45423</v>
      </c>
    </row>
    <row r="134" spans="1:1">
      <c r="A134" s="6">
        <f t="shared" si="2"/>
        <v>45424</v>
      </c>
    </row>
    <row r="135" spans="1:1">
      <c r="A135" s="6">
        <f t="shared" si="2"/>
        <v>45425</v>
      </c>
    </row>
    <row r="136" spans="1:1">
      <c r="A136" s="6">
        <f t="shared" si="2"/>
        <v>45426</v>
      </c>
    </row>
    <row r="137" spans="1:1">
      <c r="A137" s="6">
        <f t="shared" si="2"/>
        <v>45427</v>
      </c>
    </row>
    <row r="138" spans="1:1">
      <c r="A138" s="6">
        <f t="shared" si="2"/>
        <v>45428</v>
      </c>
    </row>
    <row r="139" spans="1:1">
      <c r="A139" s="6">
        <f t="shared" si="2"/>
        <v>45429</v>
      </c>
    </row>
    <row r="140" spans="1:1">
      <c r="A140" s="6">
        <f t="shared" si="2"/>
        <v>45430</v>
      </c>
    </row>
    <row r="141" spans="1:1">
      <c r="A141" s="6">
        <f t="shared" si="2"/>
        <v>45431</v>
      </c>
    </row>
    <row r="142" spans="1:1">
      <c r="A142" s="6">
        <f t="shared" si="2"/>
        <v>45432</v>
      </c>
    </row>
    <row r="143" spans="1:1">
      <c r="A143" s="6">
        <f t="shared" si="2"/>
        <v>45433</v>
      </c>
    </row>
    <row r="144" spans="1:1">
      <c r="A144" s="6">
        <f t="shared" si="2"/>
        <v>45434</v>
      </c>
    </row>
    <row r="145" spans="1:1">
      <c r="A145" s="6">
        <f t="shared" si="2"/>
        <v>45435</v>
      </c>
    </row>
    <row r="146" spans="1:1">
      <c r="A146" s="6">
        <f t="shared" si="2"/>
        <v>45436</v>
      </c>
    </row>
    <row r="147" spans="1:1">
      <c r="A147" s="6">
        <f t="shared" si="2"/>
        <v>45437</v>
      </c>
    </row>
    <row r="148" spans="1:1">
      <c r="A148" s="6">
        <f t="shared" si="2"/>
        <v>45438</v>
      </c>
    </row>
    <row r="149" spans="1:1">
      <c r="A149" s="6">
        <f t="shared" si="2"/>
        <v>45439</v>
      </c>
    </row>
    <row r="150" spans="1:1">
      <c r="A150" s="6">
        <f t="shared" si="2"/>
        <v>45440</v>
      </c>
    </row>
    <row r="151" spans="1:1">
      <c r="A151" s="6">
        <f t="shared" si="2"/>
        <v>45441</v>
      </c>
    </row>
    <row r="152" spans="1:1">
      <c r="A152" s="6">
        <f t="shared" si="2"/>
        <v>45442</v>
      </c>
    </row>
    <row r="153" spans="1:1">
      <c r="A153" s="6">
        <f t="shared" si="2"/>
        <v>45443</v>
      </c>
    </row>
    <row r="154" spans="1:1">
      <c r="A154" s="6">
        <f t="shared" si="2"/>
        <v>45444</v>
      </c>
    </row>
    <row r="155" spans="1:1">
      <c r="A155" s="6">
        <f t="shared" si="2"/>
        <v>45445</v>
      </c>
    </row>
    <row r="156" spans="1:1">
      <c r="A156" s="6">
        <f t="shared" si="2"/>
        <v>45446</v>
      </c>
    </row>
    <row r="157" spans="1:1">
      <c r="A157" s="6">
        <f t="shared" si="2"/>
        <v>45447</v>
      </c>
    </row>
    <row r="158" spans="1:1">
      <c r="A158" s="6">
        <f t="shared" si="2"/>
        <v>45448</v>
      </c>
    </row>
    <row r="159" spans="1:1">
      <c r="A159" s="6">
        <f t="shared" si="2"/>
        <v>45449</v>
      </c>
    </row>
    <row r="160" spans="1:1">
      <c r="A160" s="6">
        <f t="shared" si="2"/>
        <v>45450</v>
      </c>
    </row>
    <row r="161" spans="1:1">
      <c r="A161" s="6">
        <f t="shared" si="2"/>
        <v>45451</v>
      </c>
    </row>
    <row r="162" spans="1:1">
      <c r="A162" s="6">
        <f t="shared" si="2"/>
        <v>45452</v>
      </c>
    </row>
    <row r="163" spans="1:1">
      <c r="A163" s="6">
        <f t="shared" si="2"/>
        <v>45453</v>
      </c>
    </row>
    <row r="164" spans="1:1">
      <c r="A164" s="6">
        <f t="shared" si="2"/>
        <v>45454</v>
      </c>
    </row>
    <row r="165" spans="1:1">
      <c r="A165" s="6">
        <f t="shared" si="2"/>
        <v>45455</v>
      </c>
    </row>
    <row r="166" spans="1:1">
      <c r="A166" s="6">
        <f t="shared" si="2"/>
        <v>45456</v>
      </c>
    </row>
    <row r="167" spans="1:1">
      <c r="A167" s="6">
        <f t="shared" si="2"/>
        <v>45457</v>
      </c>
    </row>
    <row r="168" spans="1:1">
      <c r="A168" s="6">
        <f t="shared" si="2"/>
        <v>45458</v>
      </c>
    </row>
    <row r="169" spans="1:1">
      <c r="A169" s="6">
        <f t="shared" si="2"/>
        <v>45459</v>
      </c>
    </row>
    <row r="170" spans="1:1">
      <c r="A170" s="6">
        <f t="shared" si="2"/>
        <v>45460</v>
      </c>
    </row>
    <row r="171" spans="1:1">
      <c r="A171" s="6">
        <f t="shared" si="2"/>
        <v>45461</v>
      </c>
    </row>
    <row r="172" spans="1:1">
      <c r="A172" s="6">
        <f t="shared" si="2"/>
        <v>45462</v>
      </c>
    </row>
    <row r="173" spans="1:1">
      <c r="A173" s="6">
        <f t="shared" si="2"/>
        <v>45463</v>
      </c>
    </row>
    <row r="174" spans="1:1">
      <c r="A174" s="6">
        <f t="shared" si="2"/>
        <v>45464</v>
      </c>
    </row>
    <row r="175" spans="1:1">
      <c r="A175" s="6">
        <f t="shared" si="2"/>
        <v>45465</v>
      </c>
    </row>
    <row r="176" spans="1:1">
      <c r="A176" s="6">
        <f t="shared" si="2"/>
        <v>45466</v>
      </c>
    </row>
    <row r="177" spans="1:1">
      <c r="A177" s="6">
        <f t="shared" si="2"/>
        <v>45467</v>
      </c>
    </row>
    <row r="178" spans="1:1">
      <c r="A178" s="6">
        <f t="shared" si="2"/>
        <v>45468</v>
      </c>
    </row>
    <row r="179" spans="1:1">
      <c r="A179" s="6">
        <f t="shared" si="2"/>
        <v>45469</v>
      </c>
    </row>
    <row r="180" spans="1:1">
      <c r="A180" s="6">
        <f t="shared" si="2"/>
        <v>45470</v>
      </c>
    </row>
    <row r="181" spans="1:1">
      <c r="A181" s="6">
        <f t="shared" si="2"/>
        <v>45471</v>
      </c>
    </row>
    <row r="182" spans="1:1">
      <c r="A182" s="6">
        <f t="shared" si="2"/>
        <v>45472</v>
      </c>
    </row>
    <row r="183" spans="1:1">
      <c r="A183" s="6">
        <f t="shared" si="2"/>
        <v>45473</v>
      </c>
    </row>
    <row r="184" spans="1:1">
      <c r="A184" s="6">
        <f t="shared" si="2"/>
        <v>45474</v>
      </c>
    </row>
    <row r="185" spans="1:1">
      <c r="A185" s="6">
        <f t="shared" si="2"/>
        <v>45475</v>
      </c>
    </row>
    <row r="186" spans="1:1">
      <c r="A186" s="6">
        <f t="shared" si="2"/>
        <v>45476</v>
      </c>
    </row>
    <row r="187" spans="1:1">
      <c r="A187" s="6">
        <f t="shared" si="2"/>
        <v>45477</v>
      </c>
    </row>
    <row r="188" spans="1:1">
      <c r="A188" s="6">
        <f t="shared" si="2"/>
        <v>45478</v>
      </c>
    </row>
    <row r="189" spans="1:1">
      <c r="A189" s="6">
        <f t="shared" si="2"/>
        <v>45479</v>
      </c>
    </row>
    <row r="190" spans="1:1">
      <c r="A190" s="6">
        <f t="shared" si="2"/>
        <v>45480</v>
      </c>
    </row>
    <row r="191" spans="1:1">
      <c r="A191" s="6">
        <f t="shared" si="2"/>
        <v>45481</v>
      </c>
    </row>
    <row r="192" spans="1:1">
      <c r="A192" s="6">
        <f t="shared" si="2"/>
        <v>45482</v>
      </c>
    </row>
    <row r="193" spans="1:1">
      <c r="A193" s="6">
        <f t="shared" si="2"/>
        <v>45483</v>
      </c>
    </row>
    <row r="194" spans="1:1">
      <c r="A194" s="6">
        <f t="shared" si="2"/>
        <v>45484</v>
      </c>
    </row>
    <row r="195" spans="1:1">
      <c r="A195" s="6">
        <f t="shared" si="2"/>
        <v>45485</v>
      </c>
    </row>
    <row r="196" spans="1:1">
      <c r="A196" s="6">
        <f t="shared" ref="A196:A259" si="3">A195+1</f>
        <v>45486</v>
      </c>
    </row>
    <row r="197" spans="1:1">
      <c r="A197" s="6">
        <f t="shared" si="3"/>
        <v>45487</v>
      </c>
    </row>
    <row r="198" spans="1:1">
      <c r="A198" s="6">
        <f t="shared" si="3"/>
        <v>45488</v>
      </c>
    </row>
    <row r="199" spans="1:1">
      <c r="A199" s="6">
        <f t="shared" si="3"/>
        <v>45489</v>
      </c>
    </row>
    <row r="200" spans="1:1">
      <c r="A200" s="6">
        <f t="shared" si="3"/>
        <v>45490</v>
      </c>
    </row>
    <row r="201" spans="1:1">
      <c r="A201" s="6">
        <f t="shared" si="3"/>
        <v>45491</v>
      </c>
    </row>
    <row r="202" spans="1:1">
      <c r="A202" s="6">
        <f t="shared" si="3"/>
        <v>45492</v>
      </c>
    </row>
    <row r="203" spans="1:1">
      <c r="A203" s="6">
        <f t="shared" si="3"/>
        <v>45493</v>
      </c>
    </row>
    <row r="204" spans="1:1">
      <c r="A204" s="6">
        <f t="shared" si="3"/>
        <v>45494</v>
      </c>
    </row>
    <row r="205" spans="1:1">
      <c r="A205" s="6">
        <f t="shared" si="3"/>
        <v>45495</v>
      </c>
    </row>
    <row r="206" spans="1:1">
      <c r="A206" s="6">
        <f t="shared" si="3"/>
        <v>45496</v>
      </c>
    </row>
    <row r="207" spans="1:1">
      <c r="A207" s="6">
        <f t="shared" si="3"/>
        <v>45497</v>
      </c>
    </row>
    <row r="208" spans="1:1">
      <c r="A208" s="6">
        <f t="shared" si="3"/>
        <v>45498</v>
      </c>
    </row>
    <row r="209" spans="1:1">
      <c r="A209" s="6">
        <f t="shared" si="3"/>
        <v>45499</v>
      </c>
    </row>
    <row r="210" spans="1:1">
      <c r="A210" s="6">
        <f t="shared" si="3"/>
        <v>45500</v>
      </c>
    </row>
    <row r="211" spans="1:1">
      <c r="A211" s="6">
        <f t="shared" si="3"/>
        <v>45501</v>
      </c>
    </row>
    <row r="212" spans="1:1">
      <c r="A212" s="6">
        <f t="shared" si="3"/>
        <v>45502</v>
      </c>
    </row>
    <row r="213" spans="1:1">
      <c r="A213" s="6">
        <f t="shared" si="3"/>
        <v>45503</v>
      </c>
    </row>
    <row r="214" spans="1:1">
      <c r="A214" s="6">
        <f t="shared" si="3"/>
        <v>45504</v>
      </c>
    </row>
    <row r="215" spans="1:1">
      <c r="A215" s="6">
        <f t="shared" si="3"/>
        <v>45505</v>
      </c>
    </row>
    <row r="216" spans="1:1">
      <c r="A216" s="6">
        <f t="shared" si="3"/>
        <v>45506</v>
      </c>
    </row>
    <row r="217" spans="1:1">
      <c r="A217" s="6">
        <f t="shared" si="3"/>
        <v>45507</v>
      </c>
    </row>
    <row r="218" spans="1:1">
      <c r="A218" s="6">
        <f t="shared" si="3"/>
        <v>45508</v>
      </c>
    </row>
    <row r="219" spans="1:1">
      <c r="A219" s="6">
        <f t="shared" si="3"/>
        <v>45509</v>
      </c>
    </row>
    <row r="220" spans="1:1">
      <c r="A220" s="6">
        <f t="shared" si="3"/>
        <v>45510</v>
      </c>
    </row>
    <row r="221" spans="1:1">
      <c r="A221" s="6">
        <f t="shared" si="3"/>
        <v>45511</v>
      </c>
    </row>
    <row r="222" spans="1:1">
      <c r="A222" s="6">
        <f t="shared" si="3"/>
        <v>45512</v>
      </c>
    </row>
    <row r="223" spans="1:1">
      <c r="A223" s="6">
        <f t="shared" si="3"/>
        <v>45513</v>
      </c>
    </row>
    <row r="224" spans="1:1">
      <c r="A224" s="6">
        <f t="shared" si="3"/>
        <v>45514</v>
      </c>
    </row>
    <row r="225" spans="1:1">
      <c r="A225" s="6">
        <f t="shared" si="3"/>
        <v>45515</v>
      </c>
    </row>
    <row r="226" spans="1:1">
      <c r="A226" s="6">
        <f t="shared" si="3"/>
        <v>45516</v>
      </c>
    </row>
    <row r="227" spans="1:1">
      <c r="A227" s="6">
        <f t="shared" si="3"/>
        <v>45517</v>
      </c>
    </row>
    <row r="228" spans="1:1">
      <c r="A228" s="6">
        <f t="shared" si="3"/>
        <v>45518</v>
      </c>
    </row>
    <row r="229" spans="1:1">
      <c r="A229" s="6">
        <f t="shared" si="3"/>
        <v>45519</v>
      </c>
    </row>
    <row r="230" spans="1:1">
      <c r="A230" s="6">
        <f t="shared" si="3"/>
        <v>45520</v>
      </c>
    </row>
    <row r="231" spans="1:1">
      <c r="A231" s="6">
        <f t="shared" si="3"/>
        <v>45521</v>
      </c>
    </row>
    <row r="232" spans="1:1">
      <c r="A232" s="6">
        <f t="shared" si="3"/>
        <v>45522</v>
      </c>
    </row>
    <row r="233" spans="1:1">
      <c r="A233" s="6">
        <f t="shared" si="3"/>
        <v>45523</v>
      </c>
    </row>
    <row r="234" spans="1:1">
      <c r="A234" s="6">
        <f t="shared" si="3"/>
        <v>45524</v>
      </c>
    </row>
    <row r="235" spans="1:1">
      <c r="A235" s="6">
        <f t="shared" si="3"/>
        <v>45525</v>
      </c>
    </row>
    <row r="236" spans="1:1">
      <c r="A236" s="6">
        <f t="shared" si="3"/>
        <v>45526</v>
      </c>
    </row>
    <row r="237" spans="1:1">
      <c r="A237" s="6">
        <f t="shared" si="3"/>
        <v>45527</v>
      </c>
    </row>
    <row r="238" spans="1:1">
      <c r="A238" s="6">
        <f t="shared" si="3"/>
        <v>45528</v>
      </c>
    </row>
    <row r="239" spans="1:1">
      <c r="A239" s="6">
        <f t="shared" si="3"/>
        <v>45529</v>
      </c>
    </row>
    <row r="240" spans="1:1">
      <c r="A240" s="6">
        <f t="shared" si="3"/>
        <v>45530</v>
      </c>
    </row>
    <row r="241" spans="1:1">
      <c r="A241" s="6">
        <f t="shared" si="3"/>
        <v>45531</v>
      </c>
    </row>
    <row r="242" spans="1:1">
      <c r="A242" s="6">
        <f t="shared" si="3"/>
        <v>45532</v>
      </c>
    </row>
    <row r="243" spans="1:1">
      <c r="A243" s="6">
        <f t="shared" si="3"/>
        <v>45533</v>
      </c>
    </row>
    <row r="244" spans="1:1">
      <c r="A244" s="6">
        <f t="shared" si="3"/>
        <v>45534</v>
      </c>
    </row>
    <row r="245" spans="1:1">
      <c r="A245" s="6">
        <f t="shared" si="3"/>
        <v>45535</v>
      </c>
    </row>
    <row r="246" spans="1:1">
      <c r="A246" s="6">
        <f t="shared" si="3"/>
        <v>45536</v>
      </c>
    </row>
    <row r="247" spans="1:1">
      <c r="A247" s="6">
        <f t="shared" si="3"/>
        <v>45537</v>
      </c>
    </row>
    <row r="248" spans="1:1">
      <c r="A248" s="6">
        <f t="shared" si="3"/>
        <v>45538</v>
      </c>
    </row>
    <row r="249" spans="1:1">
      <c r="A249" s="6">
        <f t="shared" si="3"/>
        <v>45539</v>
      </c>
    </row>
    <row r="250" spans="1:1">
      <c r="A250" s="6">
        <f t="shared" si="3"/>
        <v>45540</v>
      </c>
    </row>
    <row r="251" spans="1:1">
      <c r="A251" s="6">
        <f t="shared" si="3"/>
        <v>45541</v>
      </c>
    </row>
    <row r="252" spans="1:1">
      <c r="A252" s="6">
        <f t="shared" si="3"/>
        <v>45542</v>
      </c>
    </row>
    <row r="253" spans="1:1">
      <c r="A253" s="6">
        <f t="shared" si="3"/>
        <v>45543</v>
      </c>
    </row>
    <row r="254" spans="1:1">
      <c r="A254" s="6">
        <f t="shared" si="3"/>
        <v>45544</v>
      </c>
    </row>
    <row r="255" spans="1:1">
      <c r="A255" s="6">
        <f t="shared" si="3"/>
        <v>45545</v>
      </c>
    </row>
    <row r="256" spans="1:1">
      <c r="A256" s="6">
        <f t="shared" si="3"/>
        <v>45546</v>
      </c>
    </row>
    <row r="257" spans="1:1">
      <c r="A257" s="6">
        <f t="shared" si="3"/>
        <v>45547</v>
      </c>
    </row>
    <row r="258" spans="1:1">
      <c r="A258" s="6">
        <f t="shared" si="3"/>
        <v>45548</v>
      </c>
    </row>
    <row r="259" spans="1:1">
      <c r="A259" s="6">
        <f t="shared" si="3"/>
        <v>45549</v>
      </c>
    </row>
    <row r="260" spans="1:1">
      <c r="A260" s="6">
        <f t="shared" ref="A260:A323" si="4">A259+1</f>
        <v>45550</v>
      </c>
    </row>
    <row r="261" spans="1:1">
      <c r="A261" s="6">
        <f t="shared" si="4"/>
        <v>45551</v>
      </c>
    </row>
    <row r="262" spans="1:1">
      <c r="A262" s="6">
        <f t="shared" si="4"/>
        <v>45552</v>
      </c>
    </row>
    <row r="263" spans="1:1">
      <c r="A263" s="6">
        <f t="shared" si="4"/>
        <v>45553</v>
      </c>
    </row>
    <row r="264" spans="1:1">
      <c r="A264" s="6">
        <f t="shared" si="4"/>
        <v>45554</v>
      </c>
    </row>
    <row r="265" spans="1:1">
      <c r="A265" s="6">
        <f t="shared" si="4"/>
        <v>45555</v>
      </c>
    </row>
    <row r="266" spans="1:1">
      <c r="A266" s="6">
        <f t="shared" si="4"/>
        <v>45556</v>
      </c>
    </row>
    <row r="267" spans="1:1">
      <c r="A267" s="6">
        <f t="shared" si="4"/>
        <v>45557</v>
      </c>
    </row>
    <row r="268" spans="1:1">
      <c r="A268" s="6">
        <f t="shared" si="4"/>
        <v>45558</v>
      </c>
    </row>
    <row r="269" spans="1:1">
      <c r="A269" s="6">
        <f t="shared" si="4"/>
        <v>45559</v>
      </c>
    </row>
    <row r="270" spans="1:1">
      <c r="A270" s="6">
        <f t="shared" si="4"/>
        <v>45560</v>
      </c>
    </row>
    <row r="271" spans="1:1">
      <c r="A271" s="6">
        <f t="shared" si="4"/>
        <v>45561</v>
      </c>
    </row>
    <row r="272" spans="1:1">
      <c r="A272" s="6">
        <f t="shared" si="4"/>
        <v>45562</v>
      </c>
    </row>
    <row r="273" spans="1:1">
      <c r="A273" s="6">
        <f t="shared" si="4"/>
        <v>45563</v>
      </c>
    </row>
    <row r="274" spans="1:1">
      <c r="A274" s="6">
        <f t="shared" si="4"/>
        <v>45564</v>
      </c>
    </row>
    <row r="275" spans="1:1">
      <c r="A275" s="6">
        <f t="shared" si="4"/>
        <v>45565</v>
      </c>
    </row>
    <row r="276" spans="1:1">
      <c r="A276" s="6">
        <f t="shared" si="4"/>
        <v>45566</v>
      </c>
    </row>
    <row r="277" spans="1:1">
      <c r="A277" s="6">
        <f t="shared" si="4"/>
        <v>45567</v>
      </c>
    </row>
    <row r="278" spans="1:1">
      <c r="A278" s="6">
        <f t="shared" si="4"/>
        <v>45568</v>
      </c>
    </row>
    <row r="279" spans="1:1">
      <c r="A279" s="6">
        <f t="shared" si="4"/>
        <v>45569</v>
      </c>
    </row>
    <row r="280" spans="1:1">
      <c r="A280" s="6">
        <f t="shared" si="4"/>
        <v>45570</v>
      </c>
    </row>
    <row r="281" spans="1:1">
      <c r="A281" s="6">
        <f t="shared" si="4"/>
        <v>45571</v>
      </c>
    </row>
    <row r="282" spans="1:1">
      <c r="A282" s="6">
        <f t="shared" si="4"/>
        <v>45572</v>
      </c>
    </row>
    <row r="283" spans="1:1">
      <c r="A283" s="6">
        <f t="shared" si="4"/>
        <v>45573</v>
      </c>
    </row>
    <row r="284" spans="1:1">
      <c r="A284" s="6">
        <f t="shared" si="4"/>
        <v>45574</v>
      </c>
    </row>
    <row r="285" spans="1:1">
      <c r="A285" s="6">
        <f t="shared" si="4"/>
        <v>45575</v>
      </c>
    </row>
    <row r="286" spans="1:1">
      <c r="A286" s="6">
        <f t="shared" si="4"/>
        <v>45576</v>
      </c>
    </row>
    <row r="287" spans="1:1">
      <c r="A287" s="6">
        <f t="shared" si="4"/>
        <v>45577</v>
      </c>
    </row>
    <row r="288" spans="1:1">
      <c r="A288" s="6">
        <f t="shared" si="4"/>
        <v>45578</v>
      </c>
    </row>
    <row r="289" spans="1:1">
      <c r="A289" s="6">
        <f t="shared" si="4"/>
        <v>45579</v>
      </c>
    </row>
    <row r="290" spans="1:1">
      <c r="A290" s="6">
        <f t="shared" si="4"/>
        <v>45580</v>
      </c>
    </row>
    <row r="291" spans="1:1">
      <c r="A291" s="6">
        <f t="shared" si="4"/>
        <v>45581</v>
      </c>
    </row>
    <row r="292" spans="1:1">
      <c r="A292" s="6">
        <f t="shared" si="4"/>
        <v>45582</v>
      </c>
    </row>
    <row r="293" spans="1:1">
      <c r="A293" s="6">
        <f t="shared" si="4"/>
        <v>45583</v>
      </c>
    </row>
    <row r="294" spans="1:1">
      <c r="A294" s="6">
        <f t="shared" si="4"/>
        <v>45584</v>
      </c>
    </row>
    <row r="295" spans="1:1">
      <c r="A295" s="6">
        <f t="shared" si="4"/>
        <v>45585</v>
      </c>
    </row>
    <row r="296" spans="1:1">
      <c r="A296" s="6">
        <f t="shared" si="4"/>
        <v>45586</v>
      </c>
    </row>
    <row r="297" spans="1:1">
      <c r="A297" s="6">
        <f t="shared" si="4"/>
        <v>45587</v>
      </c>
    </row>
    <row r="298" spans="1:1">
      <c r="A298" s="6">
        <f t="shared" si="4"/>
        <v>45588</v>
      </c>
    </row>
    <row r="299" spans="1:1">
      <c r="A299" s="6">
        <f t="shared" si="4"/>
        <v>45589</v>
      </c>
    </row>
    <row r="300" spans="1:1">
      <c r="A300" s="6">
        <f t="shared" si="4"/>
        <v>45590</v>
      </c>
    </row>
    <row r="301" spans="1:1">
      <c r="A301" s="6">
        <f t="shared" si="4"/>
        <v>45591</v>
      </c>
    </row>
    <row r="302" spans="1:1">
      <c r="A302" s="6">
        <f t="shared" si="4"/>
        <v>45592</v>
      </c>
    </row>
    <row r="303" spans="1:1">
      <c r="A303" s="6">
        <f t="shared" si="4"/>
        <v>45593</v>
      </c>
    </row>
    <row r="304" spans="1:1">
      <c r="A304" s="6">
        <f t="shared" si="4"/>
        <v>45594</v>
      </c>
    </row>
    <row r="305" spans="1:1">
      <c r="A305" s="6">
        <f t="shared" si="4"/>
        <v>45595</v>
      </c>
    </row>
    <row r="306" spans="1:1">
      <c r="A306" s="6">
        <f t="shared" si="4"/>
        <v>45596</v>
      </c>
    </row>
    <row r="307" spans="1:1">
      <c r="A307" s="6">
        <f t="shared" si="4"/>
        <v>45597</v>
      </c>
    </row>
    <row r="308" spans="1:1">
      <c r="A308" s="6">
        <f t="shared" si="4"/>
        <v>45598</v>
      </c>
    </row>
    <row r="309" spans="1:1">
      <c r="A309" s="6">
        <f t="shared" si="4"/>
        <v>45599</v>
      </c>
    </row>
    <row r="310" spans="1:1">
      <c r="A310" s="6">
        <f t="shared" si="4"/>
        <v>45600</v>
      </c>
    </row>
    <row r="311" spans="1:1">
      <c r="A311" s="6">
        <f t="shared" si="4"/>
        <v>45601</v>
      </c>
    </row>
    <row r="312" spans="1:1">
      <c r="A312" s="6">
        <f t="shared" si="4"/>
        <v>45602</v>
      </c>
    </row>
    <row r="313" spans="1:1">
      <c r="A313" s="6">
        <f t="shared" si="4"/>
        <v>45603</v>
      </c>
    </row>
    <row r="314" spans="1:1">
      <c r="A314" s="6">
        <f t="shared" si="4"/>
        <v>45604</v>
      </c>
    </row>
    <row r="315" spans="1:1">
      <c r="A315" s="6">
        <f t="shared" si="4"/>
        <v>45605</v>
      </c>
    </row>
    <row r="316" spans="1:1">
      <c r="A316" s="6">
        <f t="shared" si="4"/>
        <v>45606</v>
      </c>
    </row>
    <row r="317" spans="1:1">
      <c r="A317" s="6">
        <f t="shared" si="4"/>
        <v>45607</v>
      </c>
    </row>
    <row r="318" spans="1:1">
      <c r="A318" s="6">
        <f t="shared" si="4"/>
        <v>45608</v>
      </c>
    </row>
    <row r="319" spans="1:1">
      <c r="A319" s="6">
        <f t="shared" si="4"/>
        <v>45609</v>
      </c>
    </row>
    <row r="320" spans="1:1">
      <c r="A320" s="6">
        <f t="shared" si="4"/>
        <v>45610</v>
      </c>
    </row>
    <row r="321" spans="1:1">
      <c r="A321" s="6">
        <f t="shared" si="4"/>
        <v>45611</v>
      </c>
    </row>
    <row r="322" spans="1:1">
      <c r="A322" s="6">
        <f t="shared" si="4"/>
        <v>45612</v>
      </c>
    </row>
    <row r="323" spans="1:1">
      <c r="A323" s="6">
        <f t="shared" si="4"/>
        <v>45613</v>
      </c>
    </row>
    <row r="324" spans="1:1">
      <c r="A324" s="6">
        <f t="shared" ref="A324:A387" si="5">A323+1</f>
        <v>45614</v>
      </c>
    </row>
    <row r="325" spans="1:1">
      <c r="A325" s="6">
        <f t="shared" si="5"/>
        <v>45615</v>
      </c>
    </row>
    <row r="326" spans="1:1">
      <c r="A326" s="6">
        <f t="shared" si="5"/>
        <v>45616</v>
      </c>
    </row>
    <row r="327" spans="1:1">
      <c r="A327" s="6">
        <f t="shared" si="5"/>
        <v>45617</v>
      </c>
    </row>
    <row r="328" spans="1:1">
      <c r="A328" s="6">
        <f t="shared" si="5"/>
        <v>45618</v>
      </c>
    </row>
    <row r="329" spans="1:1">
      <c r="A329" s="6">
        <f t="shared" si="5"/>
        <v>45619</v>
      </c>
    </row>
    <row r="330" spans="1:1">
      <c r="A330" s="6">
        <f t="shared" si="5"/>
        <v>45620</v>
      </c>
    </row>
    <row r="331" spans="1:1">
      <c r="A331" s="6">
        <f t="shared" si="5"/>
        <v>45621</v>
      </c>
    </row>
    <row r="332" spans="1:1">
      <c r="A332" s="6">
        <f t="shared" si="5"/>
        <v>45622</v>
      </c>
    </row>
    <row r="333" spans="1:1">
      <c r="A333" s="6">
        <f t="shared" si="5"/>
        <v>45623</v>
      </c>
    </row>
    <row r="334" spans="1:1">
      <c r="A334" s="6">
        <f t="shared" si="5"/>
        <v>45624</v>
      </c>
    </row>
    <row r="335" spans="1:1">
      <c r="A335" s="6">
        <f t="shared" si="5"/>
        <v>45625</v>
      </c>
    </row>
    <row r="336" spans="1:1">
      <c r="A336" s="6">
        <f t="shared" si="5"/>
        <v>45626</v>
      </c>
    </row>
    <row r="337" spans="1:1">
      <c r="A337" s="6">
        <f t="shared" si="5"/>
        <v>45627</v>
      </c>
    </row>
    <row r="338" spans="1:1">
      <c r="A338" s="6">
        <f t="shared" si="5"/>
        <v>45628</v>
      </c>
    </row>
    <row r="339" spans="1:1">
      <c r="A339" s="6">
        <f t="shared" si="5"/>
        <v>45629</v>
      </c>
    </row>
    <row r="340" spans="1:1">
      <c r="A340" s="6">
        <f t="shared" si="5"/>
        <v>45630</v>
      </c>
    </row>
    <row r="341" spans="1:1">
      <c r="A341" s="6">
        <f t="shared" si="5"/>
        <v>45631</v>
      </c>
    </row>
    <row r="342" spans="1:1">
      <c r="A342" s="6">
        <f t="shared" si="5"/>
        <v>45632</v>
      </c>
    </row>
    <row r="343" spans="1:1">
      <c r="A343" s="6">
        <f t="shared" si="5"/>
        <v>45633</v>
      </c>
    </row>
    <row r="344" spans="1:1">
      <c r="A344" s="6">
        <f t="shared" si="5"/>
        <v>45634</v>
      </c>
    </row>
    <row r="345" spans="1:1">
      <c r="A345" s="6">
        <f t="shared" si="5"/>
        <v>45635</v>
      </c>
    </row>
    <row r="346" spans="1:1">
      <c r="A346" s="6">
        <f t="shared" si="5"/>
        <v>45636</v>
      </c>
    </row>
    <row r="347" spans="1:1">
      <c r="A347" s="6">
        <f t="shared" si="5"/>
        <v>45637</v>
      </c>
    </row>
    <row r="348" spans="1:1">
      <c r="A348" s="6">
        <f t="shared" si="5"/>
        <v>45638</v>
      </c>
    </row>
    <row r="349" spans="1:1">
      <c r="A349" s="6">
        <f t="shared" si="5"/>
        <v>45639</v>
      </c>
    </row>
    <row r="350" spans="1:1">
      <c r="A350" s="6">
        <f t="shared" si="5"/>
        <v>45640</v>
      </c>
    </row>
    <row r="351" spans="1:1">
      <c r="A351" s="6">
        <f t="shared" si="5"/>
        <v>45641</v>
      </c>
    </row>
    <row r="352" spans="1:1">
      <c r="A352" s="6">
        <f t="shared" si="5"/>
        <v>45642</v>
      </c>
    </row>
    <row r="353" spans="1:1">
      <c r="A353" s="6">
        <f t="shared" si="5"/>
        <v>45643</v>
      </c>
    </row>
    <row r="354" spans="1:1">
      <c r="A354" s="6">
        <f t="shared" si="5"/>
        <v>45644</v>
      </c>
    </row>
    <row r="355" spans="1:1">
      <c r="A355" s="6">
        <f t="shared" si="5"/>
        <v>45645</v>
      </c>
    </row>
    <row r="356" spans="1:1">
      <c r="A356" s="6">
        <f t="shared" si="5"/>
        <v>45646</v>
      </c>
    </row>
    <row r="357" spans="1:1">
      <c r="A357" s="6">
        <f t="shared" si="5"/>
        <v>45647</v>
      </c>
    </row>
    <row r="358" spans="1:1">
      <c r="A358" s="6">
        <f t="shared" si="5"/>
        <v>45648</v>
      </c>
    </row>
    <row r="359" spans="1:1">
      <c r="A359" s="6">
        <f t="shared" si="5"/>
        <v>45649</v>
      </c>
    </row>
    <row r="360" spans="1:1">
      <c r="A360" s="6">
        <f t="shared" si="5"/>
        <v>45650</v>
      </c>
    </row>
    <row r="361" spans="1:1">
      <c r="A361" s="6">
        <f t="shared" si="5"/>
        <v>45651</v>
      </c>
    </row>
    <row r="362" spans="1:1">
      <c r="A362" s="6">
        <f t="shared" si="5"/>
        <v>45652</v>
      </c>
    </row>
    <row r="363" spans="1:1">
      <c r="A363" s="6">
        <f t="shared" si="5"/>
        <v>45653</v>
      </c>
    </row>
    <row r="364" spans="1:1">
      <c r="A364" s="6">
        <f t="shared" si="5"/>
        <v>45654</v>
      </c>
    </row>
    <row r="365" spans="1:1">
      <c r="A365" s="6">
        <f t="shared" si="5"/>
        <v>45655</v>
      </c>
    </row>
    <row r="366" spans="1:1">
      <c r="A366" s="6">
        <f t="shared" si="5"/>
        <v>45656</v>
      </c>
    </row>
    <row r="367" spans="1:1">
      <c r="A367" s="6">
        <f t="shared" si="5"/>
        <v>45657</v>
      </c>
    </row>
    <row r="368" spans="1:1">
      <c r="A368" s="6">
        <f t="shared" si="5"/>
        <v>45658</v>
      </c>
    </row>
    <row r="369" spans="1:1">
      <c r="A369" s="6">
        <f t="shared" si="5"/>
        <v>45659</v>
      </c>
    </row>
    <row r="370" spans="1:1">
      <c r="A370" s="6">
        <f t="shared" si="5"/>
        <v>45660</v>
      </c>
    </row>
    <row r="371" spans="1:1">
      <c r="A371" s="6">
        <f t="shared" si="5"/>
        <v>45661</v>
      </c>
    </row>
    <row r="372" spans="1:1">
      <c r="A372" s="6">
        <f t="shared" si="5"/>
        <v>45662</v>
      </c>
    </row>
    <row r="373" spans="1:1">
      <c r="A373" s="6">
        <f t="shared" si="5"/>
        <v>45663</v>
      </c>
    </row>
    <row r="374" spans="1:1">
      <c r="A374" s="6">
        <f t="shared" si="5"/>
        <v>45664</v>
      </c>
    </row>
    <row r="375" spans="1:1">
      <c r="A375" s="6">
        <f t="shared" si="5"/>
        <v>45665</v>
      </c>
    </row>
    <row r="376" spans="1:1">
      <c r="A376" s="6">
        <f t="shared" si="5"/>
        <v>45666</v>
      </c>
    </row>
    <row r="377" spans="1:1">
      <c r="A377" s="6">
        <f t="shared" si="5"/>
        <v>45667</v>
      </c>
    </row>
    <row r="378" spans="1:1">
      <c r="A378" s="6">
        <f t="shared" si="5"/>
        <v>45668</v>
      </c>
    </row>
    <row r="379" spans="1:1">
      <c r="A379" s="6">
        <f t="shared" si="5"/>
        <v>45669</v>
      </c>
    </row>
    <row r="380" spans="1:1">
      <c r="A380" s="6">
        <f t="shared" si="5"/>
        <v>45670</v>
      </c>
    </row>
    <row r="381" spans="1:1">
      <c r="A381" s="6">
        <f t="shared" si="5"/>
        <v>45671</v>
      </c>
    </row>
    <row r="382" spans="1:1">
      <c r="A382" s="6">
        <f t="shared" si="5"/>
        <v>45672</v>
      </c>
    </row>
    <row r="383" spans="1:1">
      <c r="A383" s="6">
        <f t="shared" si="5"/>
        <v>45673</v>
      </c>
    </row>
    <row r="384" spans="1:1">
      <c r="A384" s="6">
        <f t="shared" si="5"/>
        <v>45674</v>
      </c>
    </row>
    <row r="385" spans="1:1">
      <c r="A385" s="6">
        <f t="shared" si="5"/>
        <v>45675</v>
      </c>
    </row>
    <row r="386" spans="1:1">
      <c r="A386" s="6">
        <f t="shared" si="5"/>
        <v>45676</v>
      </c>
    </row>
    <row r="387" spans="1:1">
      <c r="A387" s="6">
        <f t="shared" si="5"/>
        <v>45677</v>
      </c>
    </row>
    <row r="388" spans="1:1">
      <c r="A388" s="6">
        <f t="shared" ref="A388:A451" si="6">A387+1</f>
        <v>45678</v>
      </c>
    </row>
    <row r="389" spans="1:1">
      <c r="A389" s="6">
        <f t="shared" si="6"/>
        <v>45679</v>
      </c>
    </row>
    <row r="390" spans="1:1">
      <c r="A390" s="6">
        <f t="shared" si="6"/>
        <v>45680</v>
      </c>
    </row>
    <row r="391" spans="1:1">
      <c r="A391" s="6">
        <f t="shared" si="6"/>
        <v>45681</v>
      </c>
    </row>
    <row r="392" spans="1:1">
      <c r="A392" s="6">
        <f t="shared" si="6"/>
        <v>45682</v>
      </c>
    </row>
    <row r="393" spans="1:1">
      <c r="A393" s="6">
        <f t="shared" si="6"/>
        <v>45683</v>
      </c>
    </row>
    <row r="394" spans="1:1">
      <c r="A394" s="6">
        <f t="shared" si="6"/>
        <v>45684</v>
      </c>
    </row>
    <row r="395" spans="1:1">
      <c r="A395" s="6">
        <f t="shared" si="6"/>
        <v>45685</v>
      </c>
    </row>
    <row r="396" spans="1:1">
      <c r="A396" s="6">
        <f t="shared" si="6"/>
        <v>45686</v>
      </c>
    </row>
    <row r="397" spans="1:1">
      <c r="A397" s="6">
        <f t="shared" si="6"/>
        <v>45687</v>
      </c>
    </row>
    <row r="398" spans="1:1">
      <c r="A398" s="6">
        <f t="shared" si="6"/>
        <v>45688</v>
      </c>
    </row>
    <row r="399" spans="1:1">
      <c r="A399" s="6">
        <f t="shared" si="6"/>
        <v>45689</v>
      </c>
    </row>
    <row r="400" spans="1:1">
      <c r="A400" s="6">
        <f t="shared" si="6"/>
        <v>45690</v>
      </c>
    </row>
    <row r="401" spans="1:1">
      <c r="A401" s="6">
        <f t="shared" si="6"/>
        <v>45691</v>
      </c>
    </row>
    <row r="402" spans="1:1">
      <c r="A402" s="6">
        <f t="shared" si="6"/>
        <v>45692</v>
      </c>
    </row>
    <row r="403" spans="1:1">
      <c r="A403" s="6">
        <f t="shared" si="6"/>
        <v>45693</v>
      </c>
    </row>
    <row r="404" spans="1:1">
      <c r="A404" s="6">
        <f t="shared" si="6"/>
        <v>45694</v>
      </c>
    </row>
    <row r="405" spans="1:1">
      <c r="A405" s="6">
        <f t="shared" si="6"/>
        <v>45695</v>
      </c>
    </row>
    <row r="406" spans="1:1">
      <c r="A406" s="6">
        <f t="shared" si="6"/>
        <v>45696</v>
      </c>
    </row>
    <row r="407" spans="1:1">
      <c r="A407" s="6">
        <f t="shared" si="6"/>
        <v>45697</v>
      </c>
    </row>
    <row r="408" spans="1:1">
      <c r="A408" s="6">
        <f t="shared" si="6"/>
        <v>45698</v>
      </c>
    </row>
    <row r="409" spans="1:1">
      <c r="A409" s="6">
        <f t="shared" si="6"/>
        <v>45699</v>
      </c>
    </row>
    <row r="410" spans="1:1">
      <c r="A410" s="6">
        <f t="shared" si="6"/>
        <v>45700</v>
      </c>
    </row>
    <row r="411" spans="1:1">
      <c r="A411" s="6">
        <f t="shared" si="6"/>
        <v>45701</v>
      </c>
    </row>
    <row r="412" spans="1:1">
      <c r="A412" s="6">
        <f t="shared" si="6"/>
        <v>45702</v>
      </c>
    </row>
    <row r="413" spans="1:1">
      <c r="A413" s="6">
        <f t="shared" si="6"/>
        <v>45703</v>
      </c>
    </row>
    <row r="414" spans="1:1">
      <c r="A414" s="6">
        <f t="shared" si="6"/>
        <v>45704</v>
      </c>
    </row>
    <row r="415" spans="1:1">
      <c r="A415" s="6">
        <f t="shared" si="6"/>
        <v>45705</v>
      </c>
    </row>
    <row r="416" spans="1:1">
      <c r="A416" s="6">
        <f t="shared" si="6"/>
        <v>45706</v>
      </c>
    </row>
    <row r="417" spans="1:1">
      <c r="A417" s="6">
        <f t="shared" si="6"/>
        <v>45707</v>
      </c>
    </row>
    <row r="418" spans="1:1">
      <c r="A418" s="6">
        <f t="shared" si="6"/>
        <v>45708</v>
      </c>
    </row>
    <row r="419" spans="1:1">
      <c r="A419" s="6">
        <f t="shared" si="6"/>
        <v>45709</v>
      </c>
    </row>
    <row r="420" spans="1:1">
      <c r="A420" s="6">
        <f t="shared" si="6"/>
        <v>45710</v>
      </c>
    </row>
    <row r="421" spans="1:1">
      <c r="A421" s="6">
        <f t="shared" si="6"/>
        <v>45711</v>
      </c>
    </row>
    <row r="422" spans="1:1">
      <c r="A422" s="6">
        <f t="shared" si="6"/>
        <v>45712</v>
      </c>
    </row>
    <row r="423" spans="1:1">
      <c r="A423" s="6">
        <f t="shared" si="6"/>
        <v>45713</v>
      </c>
    </row>
    <row r="424" spans="1:1">
      <c r="A424" s="6">
        <f t="shared" si="6"/>
        <v>45714</v>
      </c>
    </row>
    <row r="425" spans="1:1">
      <c r="A425" s="6">
        <f t="shared" si="6"/>
        <v>45715</v>
      </c>
    </row>
    <row r="426" spans="1:1">
      <c r="A426" s="6">
        <f t="shared" si="6"/>
        <v>45716</v>
      </c>
    </row>
    <row r="427" spans="1:1">
      <c r="A427" s="6">
        <f t="shared" si="6"/>
        <v>45717</v>
      </c>
    </row>
    <row r="428" spans="1:1">
      <c r="A428" s="6">
        <f t="shared" si="6"/>
        <v>45718</v>
      </c>
    </row>
    <row r="429" spans="1:1">
      <c r="A429" s="6">
        <f t="shared" si="6"/>
        <v>45719</v>
      </c>
    </row>
    <row r="430" spans="1:1">
      <c r="A430" s="6">
        <f t="shared" si="6"/>
        <v>45720</v>
      </c>
    </row>
    <row r="431" spans="1:1">
      <c r="A431" s="6">
        <f t="shared" si="6"/>
        <v>45721</v>
      </c>
    </row>
    <row r="432" spans="1:1">
      <c r="A432" s="6">
        <f t="shared" si="6"/>
        <v>45722</v>
      </c>
    </row>
    <row r="433" spans="1:1">
      <c r="A433" s="6">
        <f t="shared" si="6"/>
        <v>45723</v>
      </c>
    </row>
    <row r="434" spans="1:1">
      <c r="A434" s="6">
        <f t="shared" si="6"/>
        <v>45724</v>
      </c>
    </row>
    <row r="435" spans="1:1">
      <c r="A435" s="6">
        <f t="shared" si="6"/>
        <v>45725</v>
      </c>
    </row>
    <row r="436" spans="1:1">
      <c r="A436" s="6">
        <f t="shared" si="6"/>
        <v>45726</v>
      </c>
    </row>
    <row r="437" spans="1:1">
      <c r="A437" s="6">
        <f t="shared" si="6"/>
        <v>45727</v>
      </c>
    </row>
    <row r="438" spans="1:1">
      <c r="A438" s="6">
        <f t="shared" si="6"/>
        <v>45728</v>
      </c>
    </row>
    <row r="439" spans="1:1">
      <c r="A439" s="6">
        <f t="shared" si="6"/>
        <v>45729</v>
      </c>
    </row>
    <row r="440" spans="1:1">
      <c r="A440" s="6">
        <f t="shared" si="6"/>
        <v>45730</v>
      </c>
    </row>
    <row r="441" spans="1:1">
      <c r="A441" s="6">
        <f t="shared" si="6"/>
        <v>45731</v>
      </c>
    </row>
    <row r="442" spans="1:1">
      <c r="A442" s="6">
        <f t="shared" si="6"/>
        <v>45732</v>
      </c>
    </row>
    <row r="443" spans="1:1">
      <c r="A443" s="6">
        <f t="shared" si="6"/>
        <v>45733</v>
      </c>
    </row>
    <row r="444" spans="1:1">
      <c r="A444" s="6">
        <f t="shared" si="6"/>
        <v>45734</v>
      </c>
    </row>
    <row r="445" spans="1:1">
      <c r="A445" s="6">
        <f t="shared" si="6"/>
        <v>45735</v>
      </c>
    </row>
    <row r="446" spans="1:1">
      <c r="A446" s="6">
        <f t="shared" si="6"/>
        <v>45736</v>
      </c>
    </row>
    <row r="447" spans="1:1">
      <c r="A447" s="6">
        <f t="shared" si="6"/>
        <v>45737</v>
      </c>
    </row>
    <row r="448" spans="1:1">
      <c r="A448" s="6">
        <f t="shared" si="6"/>
        <v>45738</v>
      </c>
    </row>
    <row r="449" spans="1:1">
      <c r="A449" s="6">
        <f t="shared" si="6"/>
        <v>45739</v>
      </c>
    </row>
    <row r="450" spans="1:1">
      <c r="A450" s="6">
        <f t="shared" si="6"/>
        <v>45740</v>
      </c>
    </row>
    <row r="451" spans="1:1">
      <c r="A451" s="6">
        <f t="shared" si="6"/>
        <v>45741</v>
      </c>
    </row>
    <row r="452" spans="1:1">
      <c r="A452" s="6">
        <f t="shared" ref="A452:A515" si="7">A451+1</f>
        <v>45742</v>
      </c>
    </row>
    <row r="453" spans="1:1">
      <c r="A453" s="6">
        <f t="shared" si="7"/>
        <v>45743</v>
      </c>
    </row>
    <row r="454" spans="1:1">
      <c r="A454" s="6">
        <f t="shared" si="7"/>
        <v>45744</v>
      </c>
    </row>
    <row r="455" spans="1:1">
      <c r="A455" s="6">
        <f t="shared" si="7"/>
        <v>45745</v>
      </c>
    </row>
    <row r="456" spans="1:1">
      <c r="A456" s="6">
        <f t="shared" si="7"/>
        <v>45746</v>
      </c>
    </row>
    <row r="457" spans="1:1">
      <c r="A457" s="6">
        <f t="shared" si="7"/>
        <v>45747</v>
      </c>
    </row>
    <row r="458" spans="1:1">
      <c r="A458" s="6">
        <f t="shared" si="7"/>
        <v>45748</v>
      </c>
    </row>
    <row r="459" spans="1:1">
      <c r="A459" s="6">
        <f t="shared" si="7"/>
        <v>45749</v>
      </c>
    </row>
    <row r="460" spans="1:1">
      <c r="A460" s="6">
        <f t="shared" si="7"/>
        <v>45750</v>
      </c>
    </row>
    <row r="461" spans="1:1">
      <c r="A461" s="6">
        <f t="shared" si="7"/>
        <v>45751</v>
      </c>
    </row>
    <row r="462" spans="1:1">
      <c r="A462" s="6">
        <f t="shared" si="7"/>
        <v>45752</v>
      </c>
    </row>
    <row r="463" spans="1:1">
      <c r="A463" s="6">
        <f t="shared" si="7"/>
        <v>45753</v>
      </c>
    </row>
    <row r="464" spans="1:1">
      <c r="A464" s="6">
        <f t="shared" si="7"/>
        <v>45754</v>
      </c>
    </row>
    <row r="465" spans="1:1">
      <c r="A465" s="6">
        <f t="shared" si="7"/>
        <v>45755</v>
      </c>
    </row>
    <row r="466" spans="1:1">
      <c r="A466" s="6">
        <f t="shared" si="7"/>
        <v>45756</v>
      </c>
    </row>
    <row r="467" spans="1:1">
      <c r="A467" s="6">
        <f t="shared" si="7"/>
        <v>45757</v>
      </c>
    </row>
    <row r="468" spans="1:1">
      <c r="A468" s="6">
        <f t="shared" si="7"/>
        <v>45758</v>
      </c>
    </row>
    <row r="469" spans="1:1">
      <c r="A469" s="6">
        <f t="shared" si="7"/>
        <v>45759</v>
      </c>
    </row>
    <row r="470" spans="1:1">
      <c r="A470" s="6">
        <f t="shared" si="7"/>
        <v>45760</v>
      </c>
    </row>
    <row r="471" spans="1:1">
      <c r="A471" s="6">
        <f t="shared" si="7"/>
        <v>45761</v>
      </c>
    </row>
    <row r="472" spans="1:1">
      <c r="A472" s="6">
        <f t="shared" si="7"/>
        <v>45762</v>
      </c>
    </row>
    <row r="473" spans="1:1">
      <c r="A473" s="6">
        <f t="shared" si="7"/>
        <v>45763</v>
      </c>
    </row>
    <row r="474" spans="1:1">
      <c r="A474" s="6">
        <f t="shared" si="7"/>
        <v>45764</v>
      </c>
    </row>
    <row r="475" spans="1:1">
      <c r="A475" s="6">
        <f t="shared" si="7"/>
        <v>45765</v>
      </c>
    </row>
    <row r="476" spans="1:1">
      <c r="A476" s="6">
        <f t="shared" si="7"/>
        <v>45766</v>
      </c>
    </row>
    <row r="477" spans="1:1">
      <c r="A477" s="6">
        <f t="shared" si="7"/>
        <v>45767</v>
      </c>
    </row>
    <row r="478" spans="1:1">
      <c r="A478" s="6">
        <f t="shared" si="7"/>
        <v>45768</v>
      </c>
    </row>
    <row r="479" spans="1:1">
      <c r="A479" s="6">
        <f t="shared" si="7"/>
        <v>45769</v>
      </c>
    </row>
    <row r="480" spans="1:1">
      <c r="A480" s="6">
        <f t="shared" si="7"/>
        <v>45770</v>
      </c>
    </row>
    <row r="481" spans="1:1">
      <c r="A481" s="6">
        <f t="shared" si="7"/>
        <v>45771</v>
      </c>
    </row>
    <row r="482" spans="1:1">
      <c r="A482" s="6">
        <f t="shared" si="7"/>
        <v>45772</v>
      </c>
    </row>
    <row r="483" spans="1:1">
      <c r="A483" s="6">
        <f t="shared" si="7"/>
        <v>45773</v>
      </c>
    </row>
    <row r="484" spans="1:1">
      <c r="A484" s="6">
        <f t="shared" si="7"/>
        <v>45774</v>
      </c>
    </row>
    <row r="485" spans="1:1">
      <c r="A485" s="6">
        <f t="shared" si="7"/>
        <v>45775</v>
      </c>
    </row>
    <row r="486" spans="1:1">
      <c r="A486" s="6">
        <f t="shared" si="7"/>
        <v>45776</v>
      </c>
    </row>
    <row r="487" spans="1:1">
      <c r="A487" s="6">
        <f t="shared" si="7"/>
        <v>45777</v>
      </c>
    </row>
    <row r="488" spans="1:1">
      <c r="A488" s="6">
        <f t="shared" si="7"/>
        <v>45778</v>
      </c>
    </row>
    <row r="489" spans="1:1">
      <c r="A489" s="6">
        <f t="shared" si="7"/>
        <v>45779</v>
      </c>
    </row>
    <row r="490" spans="1:1">
      <c r="A490" s="6">
        <f t="shared" si="7"/>
        <v>45780</v>
      </c>
    </row>
    <row r="491" spans="1:1">
      <c r="A491" s="6">
        <f t="shared" si="7"/>
        <v>45781</v>
      </c>
    </row>
    <row r="492" spans="1:1">
      <c r="A492" s="6">
        <f t="shared" si="7"/>
        <v>45782</v>
      </c>
    </row>
    <row r="493" spans="1:1">
      <c r="A493" s="6">
        <f t="shared" si="7"/>
        <v>45783</v>
      </c>
    </row>
    <row r="494" spans="1:1">
      <c r="A494" s="6">
        <f t="shared" si="7"/>
        <v>45784</v>
      </c>
    </row>
    <row r="495" spans="1:1">
      <c r="A495" s="6">
        <f t="shared" si="7"/>
        <v>45785</v>
      </c>
    </row>
    <row r="496" spans="1:1">
      <c r="A496" s="6">
        <f t="shared" si="7"/>
        <v>45786</v>
      </c>
    </row>
    <row r="497" spans="1:1">
      <c r="A497" s="6">
        <f t="shared" si="7"/>
        <v>45787</v>
      </c>
    </row>
    <row r="498" spans="1:1">
      <c r="A498" s="6">
        <f t="shared" si="7"/>
        <v>45788</v>
      </c>
    </row>
    <row r="499" spans="1:1">
      <c r="A499" s="6">
        <f t="shared" si="7"/>
        <v>45789</v>
      </c>
    </row>
    <row r="500" spans="1:1">
      <c r="A500" s="6">
        <f t="shared" si="7"/>
        <v>45790</v>
      </c>
    </row>
    <row r="501" spans="1:1">
      <c r="A501" s="6">
        <f t="shared" si="7"/>
        <v>45791</v>
      </c>
    </row>
    <row r="502" spans="1:1">
      <c r="A502" s="6">
        <f t="shared" si="7"/>
        <v>45792</v>
      </c>
    </row>
    <row r="503" spans="1:1">
      <c r="A503" s="6">
        <f t="shared" si="7"/>
        <v>45793</v>
      </c>
    </row>
    <row r="504" spans="1:1">
      <c r="A504" s="6">
        <f t="shared" si="7"/>
        <v>45794</v>
      </c>
    </row>
    <row r="505" spans="1:1">
      <c r="A505" s="6">
        <f t="shared" si="7"/>
        <v>45795</v>
      </c>
    </row>
    <row r="506" spans="1:1">
      <c r="A506" s="6">
        <f t="shared" si="7"/>
        <v>45796</v>
      </c>
    </row>
    <row r="507" spans="1:1">
      <c r="A507" s="6">
        <f t="shared" si="7"/>
        <v>45797</v>
      </c>
    </row>
    <row r="508" spans="1:1">
      <c r="A508" s="6">
        <f t="shared" si="7"/>
        <v>45798</v>
      </c>
    </row>
    <row r="509" spans="1:1">
      <c r="A509" s="6">
        <f t="shared" si="7"/>
        <v>45799</v>
      </c>
    </row>
    <row r="510" spans="1:1">
      <c r="A510" s="6">
        <f t="shared" si="7"/>
        <v>45800</v>
      </c>
    </row>
    <row r="511" spans="1:1">
      <c r="A511" s="6">
        <f t="shared" si="7"/>
        <v>45801</v>
      </c>
    </row>
    <row r="512" spans="1:1">
      <c r="A512" s="6">
        <f t="shared" si="7"/>
        <v>45802</v>
      </c>
    </row>
    <row r="513" spans="1:1">
      <c r="A513" s="6">
        <f t="shared" si="7"/>
        <v>45803</v>
      </c>
    </row>
    <row r="514" spans="1:1">
      <c r="A514" s="6">
        <f t="shared" si="7"/>
        <v>45804</v>
      </c>
    </row>
    <row r="515" spans="1:1">
      <c r="A515" s="6">
        <f t="shared" si="7"/>
        <v>45805</v>
      </c>
    </row>
    <row r="516" spans="1:1">
      <c r="A516" s="6">
        <f t="shared" ref="A516:A579" si="8">A515+1</f>
        <v>45806</v>
      </c>
    </row>
    <row r="517" spans="1:1">
      <c r="A517" s="6">
        <f t="shared" si="8"/>
        <v>45807</v>
      </c>
    </row>
    <row r="518" spans="1:1">
      <c r="A518" s="6">
        <f t="shared" si="8"/>
        <v>45808</v>
      </c>
    </row>
    <row r="519" spans="1:1">
      <c r="A519" s="6">
        <f t="shared" si="8"/>
        <v>45809</v>
      </c>
    </row>
    <row r="520" spans="1:1">
      <c r="A520" s="6">
        <f t="shared" si="8"/>
        <v>45810</v>
      </c>
    </row>
    <row r="521" spans="1:1">
      <c r="A521" s="6">
        <f t="shared" si="8"/>
        <v>45811</v>
      </c>
    </row>
    <row r="522" spans="1:1">
      <c r="A522" s="6">
        <f t="shared" si="8"/>
        <v>45812</v>
      </c>
    </row>
    <row r="523" spans="1:1">
      <c r="A523" s="6">
        <f t="shared" si="8"/>
        <v>45813</v>
      </c>
    </row>
    <row r="524" spans="1:1">
      <c r="A524" s="6">
        <f t="shared" si="8"/>
        <v>45814</v>
      </c>
    </row>
    <row r="525" spans="1:1">
      <c r="A525" s="6">
        <f t="shared" si="8"/>
        <v>45815</v>
      </c>
    </row>
    <row r="526" spans="1:1">
      <c r="A526" s="6">
        <f t="shared" si="8"/>
        <v>45816</v>
      </c>
    </row>
    <row r="527" spans="1:1">
      <c r="A527" s="6">
        <f t="shared" si="8"/>
        <v>45817</v>
      </c>
    </row>
    <row r="528" spans="1:1">
      <c r="A528" s="6">
        <f t="shared" si="8"/>
        <v>45818</v>
      </c>
    </row>
    <row r="529" spans="1:1">
      <c r="A529" s="6">
        <f t="shared" si="8"/>
        <v>45819</v>
      </c>
    </row>
    <row r="530" spans="1:1">
      <c r="A530" s="6">
        <f t="shared" si="8"/>
        <v>45820</v>
      </c>
    </row>
    <row r="531" spans="1:1">
      <c r="A531" s="6">
        <f t="shared" si="8"/>
        <v>45821</v>
      </c>
    </row>
    <row r="532" spans="1:1">
      <c r="A532" s="6">
        <f t="shared" si="8"/>
        <v>45822</v>
      </c>
    </row>
    <row r="533" spans="1:1">
      <c r="A533" s="6">
        <f t="shared" si="8"/>
        <v>45823</v>
      </c>
    </row>
    <row r="534" spans="1:1">
      <c r="A534" s="6">
        <f t="shared" si="8"/>
        <v>45824</v>
      </c>
    </row>
    <row r="535" spans="1:1">
      <c r="A535" s="6">
        <f t="shared" si="8"/>
        <v>45825</v>
      </c>
    </row>
    <row r="536" spans="1:1">
      <c r="A536" s="6">
        <f t="shared" si="8"/>
        <v>45826</v>
      </c>
    </row>
    <row r="537" spans="1:1">
      <c r="A537" s="6">
        <f t="shared" si="8"/>
        <v>45827</v>
      </c>
    </row>
    <row r="538" spans="1:1">
      <c r="A538" s="6">
        <f t="shared" si="8"/>
        <v>45828</v>
      </c>
    </row>
    <row r="539" spans="1:1">
      <c r="A539" s="6">
        <f t="shared" si="8"/>
        <v>45829</v>
      </c>
    </row>
    <row r="540" spans="1:1">
      <c r="A540" s="6">
        <f t="shared" si="8"/>
        <v>45830</v>
      </c>
    </row>
    <row r="541" spans="1:1">
      <c r="A541" s="6">
        <f t="shared" si="8"/>
        <v>45831</v>
      </c>
    </row>
    <row r="542" spans="1:1">
      <c r="A542" s="6">
        <f t="shared" si="8"/>
        <v>45832</v>
      </c>
    </row>
    <row r="543" spans="1:1">
      <c r="A543" s="6">
        <f t="shared" si="8"/>
        <v>45833</v>
      </c>
    </row>
    <row r="544" spans="1:1">
      <c r="A544" s="6">
        <f t="shared" si="8"/>
        <v>45834</v>
      </c>
    </row>
    <row r="545" spans="1:1">
      <c r="A545" s="6">
        <f t="shared" si="8"/>
        <v>45835</v>
      </c>
    </row>
    <row r="546" spans="1:1">
      <c r="A546" s="6">
        <f t="shared" si="8"/>
        <v>45836</v>
      </c>
    </row>
    <row r="547" spans="1:1">
      <c r="A547" s="6">
        <f t="shared" si="8"/>
        <v>45837</v>
      </c>
    </row>
    <row r="548" spans="1:1">
      <c r="A548" s="6">
        <f t="shared" si="8"/>
        <v>45838</v>
      </c>
    </row>
    <row r="549" spans="1:1">
      <c r="A549" s="6">
        <f t="shared" si="8"/>
        <v>45839</v>
      </c>
    </row>
    <row r="550" spans="1:1">
      <c r="A550" s="6">
        <f t="shared" si="8"/>
        <v>45840</v>
      </c>
    </row>
    <row r="551" spans="1:1">
      <c r="A551" s="6">
        <f t="shared" si="8"/>
        <v>45841</v>
      </c>
    </row>
    <row r="552" spans="1:1">
      <c r="A552" s="6">
        <f t="shared" si="8"/>
        <v>45842</v>
      </c>
    </row>
    <row r="553" spans="1:1">
      <c r="A553" s="6">
        <f t="shared" si="8"/>
        <v>45843</v>
      </c>
    </row>
    <row r="554" spans="1:1">
      <c r="A554" s="6">
        <f t="shared" si="8"/>
        <v>45844</v>
      </c>
    </row>
    <row r="555" spans="1:1">
      <c r="A555" s="6">
        <f t="shared" si="8"/>
        <v>45845</v>
      </c>
    </row>
    <row r="556" spans="1:1">
      <c r="A556" s="6">
        <f t="shared" si="8"/>
        <v>45846</v>
      </c>
    </row>
    <row r="557" spans="1:1">
      <c r="A557" s="6">
        <f t="shared" si="8"/>
        <v>45847</v>
      </c>
    </row>
    <row r="558" spans="1:1">
      <c r="A558" s="6">
        <f t="shared" si="8"/>
        <v>45848</v>
      </c>
    </row>
    <row r="559" spans="1:1">
      <c r="A559" s="6">
        <f t="shared" si="8"/>
        <v>45849</v>
      </c>
    </row>
    <row r="560" spans="1:1">
      <c r="A560" s="6">
        <f t="shared" si="8"/>
        <v>45850</v>
      </c>
    </row>
    <row r="561" spans="1:1">
      <c r="A561" s="6">
        <f t="shared" si="8"/>
        <v>45851</v>
      </c>
    </row>
    <row r="562" spans="1:1">
      <c r="A562" s="6">
        <f t="shared" si="8"/>
        <v>45852</v>
      </c>
    </row>
    <row r="563" spans="1:1">
      <c r="A563" s="6">
        <f t="shared" si="8"/>
        <v>45853</v>
      </c>
    </row>
    <row r="564" spans="1:1">
      <c r="A564" s="6">
        <f t="shared" si="8"/>
        <v>45854</v>
      </c>
    </row>
    <row r="565" spans="1:1">
      <c r="A565" s="6">
        <f t="shared" si="8"/>
        <v>45855</v>
      </c>
    </row>
    <row r="566" spans="1:1">
      <c r="A566" s="6">
        <f t="shared" si="8"/>
        <v>45856</v>
      </c>
    </row>
    <row r="567" spans="1:1">
      <c r="A567" s="6">
        <f t="shared" si="8"/>
        <v>45857</v>
      </c>
    </row>
    <row r="568" spans="1:1">
      <c r="A568" s="6">
        <f t="shared" si="8"/>
        <v>45858</v>
      </c>
    </row>
    <row r="569" spans="1:1">
      <c r="A569" s="6">
        <f t="shared" si="8"/>
        <v>45859</v>
      </c>
    </row>
    <row r="570" spans="1:1">
      <c r="A570" s="6">
        <f t="shared" si="8"/>
        <v>45860</v>
      </c>
    </row>
    <row r="571" spans="1:1">
      <c r="A571" s="6">
        <f t="shared" si="8"/>
        <v>45861</v>
      </c>
    </row>
    <row r="572" spans="1:1">
      <c r="A572" s="6">
        <f t="shared" si="8"/>
        <v>45862</v>
      </c>
    </row>
    <row r="573" spans="1:1">
      <c r="A573" s="6">
        <f t="shared" si="8"/>
        <v>45863</v>
      </c>
    </row>
    <row r="574" spans="1:1">
      <c r="A574" s="6">
        <f t="shared" si="8"/>
        <v>45864</v>
      </c>
    </row>
    <row r="575" spans="1:1">
      <c r="A575" s="6">
        <f t="shared" si="8"/>
        <v>45865</v>
      </c>
    </row>
    <row r="576" spans="1:1">
      <c r="A576" s="6">
        <f t="shared" si="8"/>
        <v>45866</v>
      </c>
    </row>
    <row r="577" spans="1:1">
      <c r="A577" s="6">
        <f t="shared" si="8"/>
        <v>45867</v>
      </c>
    </row>
    <row r="578" spans="1:1">
      <c r="A578" s="6">
        <f t="shared" si="8"/>
        <v>45868</v>
      </c>
    </row>
    <row r="579" spans="1:1">
      <c r="A579" s="6">
        <f t="shared" si="8"/>
        <v>45869</v>
      </c>
    </row>
    <row r="580" spans="1:1">
      <c r="A580" s="6">
        <f t="shared" ref="A580:A643" si="9">A579+1</f>
        <v>45870</v>
      </c>
    </row>
    <row r="581" spans="1:1">
      <c r="A581" s="6">
        <f t="shared" si="9"/>
        <v>45871</v>
      </c>
    </row>
    <row r="582" spans="1:1">
      <c r="A582" s="6">
        <f t="shared" si="9"/>
        <v>45872</v>
      </c>
    </row>
    <row r="583" spans="1:1">
      <c r="A583" s="6">
        <f t="shared" si="9"/>
        <v>45873</v>
      </c>
    </row>
    <row r="584" spans="1:1">
      <c r="A584" s="6">
        <f t="shared" si="9"/>
        <v>45874</v>
      </c>
    </row>
    <row r="585" spans="1:1">
      <c r="A585" s="6">
        <f t="shared" si="9"/>
        <v>45875</v>
      </c>
    </row>
    <row r="586" spans="1:1">
      <c r="A586" s="6">
        <f t="shared" si="9"/>
        <v>45876</v>
      </c>
    </row>
    <row r="587" spans="1:1">
      <c r="A587" s="6">
        <f t="shared" si="9"/>
        <v>45877</v>
      </c>
    </row>
    <row r="588" spans="1:1">
      <c r="A588" s="6">
        <f t="shared" si="9"/>
        <v>45878</v>
      </c>
    </row>
    <row r="589" spans="1:1">
      <c r="A589" s="6">
        <f t="shared" si="9"/>
        <v>45879</v>
      </c>
    </row>
    <row r="590" spans="1:1">
      <c r="A590" s="6">
        <f t="shared" si="9"/>
        <v>45880</v>
      </c>
    </row>
    <row r="591" spans="1:1">
      <c r="A591" s="6">
        <f t="shared" si="9"/>
        <v>45881</v>
      </c>
    </row>
    <row r="592" spans="1:1">
      <c r="A592" s="6">
        <f t="shared" si="9"/>
        <v>45882</v>
      </c>
    </row>
    <row r="593" spans="1:1">
      <c r="A593" s="6">
        <f t="shared" si="9"/>
        <v>45883</v>
      </c>
    </row>
    <row r="594" spans="1:1">
      <c r="A594" s="6">
        <f t="shared" si="9"/>
        <v>45884</v>
      </c>
    </row>
    <row r="595" spans="1:1">
      <c r="A595" s="6">
        <f t="shared" si="9"/>
        <v>45885</v>
      </c>
    </row>
    <row r="596" spans="1:1">
      <c r="A596" s="6">
        <f t="shared" si="9"/>
        <v>45886</v>
      </c>
    </row>
    <row r="597" spans="1:1">
      <c r="A597" s="6">
        <f t="shared" si="9"/>
        <v>45887</v>
      </c>
    </row>
    <row r="598" spans="1:1">
      <c r="A598" s="6">
        <f t="shared" si="9"/>
        <v>45888</v>
      </c>
    </row>
    <row r="599" spans="1:1">
      <c r="A599" s="6">
        <f t="shared" si="9"/>
        <v>45889</v>
      </c>
    </row>
    <row r="600" spans="1:1">
      <c r="A600" s="6">
        <f t="shared" si="9"/>
        <v>45890</v>
      </c>
    </row>
    <row r="601" spans="1:1">
      <c r="A601" s="6">
        <f t="shared" si="9"/>
        <v>45891</v>
      </c>
    </row>
    <row r="602" spans="1:1">
      <c r="A602" s="6">
        <f t="shared" si="9"/>
        <v>45892</v>
      </c>
    </row>
    <row r="603" spans="1:1">
      <c r="A603" s="6">
        <f t="shared" si="9"/>
        <v>45893</v>
      </c>
    </row>
    <row r="604" spans="1:1">
      <c r="A604" s="6">
        <f t="shared" si="9"/>
        <v>45894</v>
      </c>
    </row>
    <row r="605" spans="1:1">
      <c r="A605" s="6">
        <f t="shared" si="9"/>
        <v>45895</v>
      </c>
    </row>
    <row r="606" spans="1:1">
      <c r="A606" s="6">
        <f t="shared" si="9"/>
        <v>45896</v>
      </c>
    </row>
    <row r="607" spans="1:1">
      <c r="A607" s="6">
        <f t="shared" si="9"/>
        <v>45897</v>
      </c>
    </row>
    <row r="608" spans="1:1">
      <c r="A608" s="6">
        <f t="shared" si="9"/>
        <v>45898</v>
      </c>
    </row>
    <row r="609" spans="1:1">
      <c r="A609" s="6">
        <f t="shared" si="9"/>
        <v>45899</v>
      </c>
    </row>
    <row r="610" spans="1:1">
      <c r="A610" s="6">
        <f t="shared" si="9"/>
        <v>45900</v>
      </c>
    </row>
    <row r="611" spans="1:1">
      <c r="A611" s="6">
        <f t="shared" si="9"/>
        <v>45901</v>
      </c>
    </row>
    <row r="612" spans="1:1">
      <c r="A612" s="6">
        <f t="shared" si="9"/>
        <v>45902</v>
      </c>
    </row>
    <row r="613" spans="1:1">
      <c r="A613" s="6">
        <f t="shared" si="9"/>
        <v>45903</v>
      </c>
    </row>
    <row r="614" spans="1:1">
      <c r="A614" s="6">
        <f t="shared" si="9"/>
        <v>45904</v>
      </c>
    </row>
    <row r="615" spans="1:1">
      <c r="A615" s="6">
        <f t="shared" si="9"/>
        <v>45905</v>
      </c>
    </row>
    <row r="616" spans="1:1">
      <c r="A616" s="6">
        <f t="shared" si="9"/>
        <v>45906</v>
      </c>
    </row>
    <row r="617" spans="1:1">
      <c r="A617" s="6">
        <f t="shared" si="9"/>
        <v>45907</v>
      </c>
    </row>
    <row r="618" spans="1:1">
      <c r="A618" s="6">
        <f t="shared" si="9"/>
        <v>45908</v>
      </c>
    </row>
    <row r="619" spans="1:1">
      <c r="A619" s="6">
        <f t="shared" si="9"/>
        <v>45909</v>
      </c>
    </row>
    <row r="620" spans="1:1">
      <c r="A620" s="6">
        <f t="shared" si="9"/>
        <v>45910</v>
      </c>
    </row>
    <row r="621" spans="1:1">
      <c r="A621" s="6">
        <f t="shared" si="9"/>
        <v>45911</v>
      </c>
    </row>
    <row r="622" spans="1:1">
      <c r="A622" s="6">
        <f t="shared" si="9"/>
        <v>45912</v>
      </c>
    </row>
    <row r="623" spans="1:1">
      <c r="A623" s="6">
        <f t="shared" si="9"/>
        <v>45913</v>
      </c>
    </row>
    <row r="624" spans="1:1">
      <c r="A624" s="6">
        <f t="shared" si="9"/>
        <v>45914</v>
      </c>
    </row>
    <row r="625" spans="1:1">
      <c r="A625" s="6">
        <f t="shared" si="9"/>
        <v>45915</v>
      </c>
    </row>
    <row r="626" spans="1:1">
      <c r="A626" s="6">
        <f t="shared" si="9"/>
        <v>45916</v>
      </c>
    </row>
    <row r="627" spans="1:1">
      <c r="A627" s="6">
        <f t="shared" si="9"/>
        <v>45917</v>
      </c>
    </row>
    <row r="628" spans="1:1">
      <c r="A628" s="6">
        <f t="shared" si="9"/>
        <v>45918</v>
      </c>
    </row>
    <row r="629" spans="1:1">
      <c r="A629" s="6">
        <f t="shared" si="9"/>
        <v>45919</v>
      </c>
    </row>
    <row r="630" spans="1:1">
      <c r="A630" s="6">
        <f t="shared" si="9"/>
        <v>45920</v>
      </c>
    </row>
    <row r="631" spans="1:1">
      <c r="A631" s="6">
        <f t="shared" si="9"/>
        <v>45921</v>
      </c>
    </row>
    <row r="632" spans="1:1">
      <c r="A632" s="6">
        <f t="shared" si="9"/>
        <v>45922</v>
      </c>
    </row>
    <row r="633" spans="1:1">
      <c r="A633" s="6">
        <f t="shared" si="9"/>
        <v>45923</v>
      </c>
    </row>
    <row r="634" spans="1:1">
      <c r="A634" s="6">
        <f t="shared" si="9"/>
        <v>45924</v>
      </c>
    </row>
    <row r="635" spans="1:1">
      <c r="A635" s="6">
        <f t="shared" si="9"/>
        <v>45925</v>
      </c>
    </row>
    <row r="636" spans="1:1">
      <c r="A636" s="6">
        <f t="shared" si="9"/>
        <v>45926</v>
      </c>
    </row>
    <row r="637" spans="1:1">
      <c r="A637" s="6">
        <f t="shared" si="9"/>
        <v>45927</v>
      </c>
    </row>
    <row r="638" spans="1:1">
      <c r="A638" s="6">
        <f t="shared" si="9"/>
        <v>45928</v>
      </c>
    </row>
    <row r="639" spans="1:1">
      <c r="A639" s="6">
        <f t="shared" si="9"/>
        <v>45929</v>
      </c>
    </row>
    <row r="640" spans="1:1">
      <c r="A640" s="6">
        <f t="shared" si="9"/>
        <v>45930</v>
      </c>
    </row>
    <row r="641" spans="1:1">
      <c r="A641" s="6">
        <f t="shared" si="9"/>
        <v>45931</v>
      </c>
    </row>
    <row r="642" spans="1:1">
      <c r="A642" s="6">
        <f t="shared" si="9"/>
        <v>45932</v>
      </c>
    </row>
    <row r="643" spans="1:1">
      <c r="A643" s="6">
        <f t="shared" si="9"/>
        <v>45933</v>
      </c>
    </row>
    <row r="644" spans="1:1">
      <c r="A644" s="6">
        <f t="shared" ref="A644:A707" si="10">A643+1</f>
        <v>45934</v>
      </c>
    </row>
    <row r="645" spans="1:1">
      <c r="A645" s="6">
        <f t="shared" si="10"/>
        <v>45935</v>
      </c>
    </row>
    <row r="646" spans="1:1">
      <c r="A646" s="6">
        <f t="shared" si="10"/>
        <v>45936</v>
      </c>
    </row>
    <row r="647" spans="1:1">
      <c r="A647" s="6">
        <f t="shared" si="10"/>
        <v>45937</v>
      </c>
    </row>
    <row r="648" spans="1:1">
      <c r="A648" s="6">
        <f t="shared" si="10"/>
        <v>45938</v>
      </c>
    </row>
    <row r="649" spans="1:1">
      <c r="A649" s="6">
        <f t="shared" si="10"/>
        <v>45939</v>
      </c>
    </row>
    <row r="650" spans="1:1">
      <c r="A650" s="6">
        <f t="shared" si="10"/>
        <v>45940</v>
      </c>
    </row>
    <row r="651" spans="1:1">
      <c r="A651" s="6">
        <f t="shared" si="10"/>
        <v>45941</v>
      </c>
    </row>
    <row r="652" spans="1:1">
      <c r="A652" s="6">
        <f t="shared" si="10"/>
        <v>45942</v>
      </c>
    </row>
    <row r="653" spans="1:1">
      <c r="A653" s="6">
        <f t="shared" si="10"/>
        <v>45943</v>
      </c>
    </row>
    <row r="654" spans="1:1">
      <c r="A654" s="6">
        <f t="shared" si="10"/>
        <v>45944</v>
      </c>
    </row>
    <row r="655" spans="1:1">
      <c r="A655" s="6">
        <f t="shared" si="10"/>
        <v>45945</v>
      </c>
    </row>
    <row r="656" spans="1:1">
      <c r="A656" s="6">
        <f t="shared" si="10"/>
        <v>45946</v>
      </c>
    </row>
    <row r="657" spans="1:1">
      <c r="A657" s="6">
        <f t="shared" si="10"/>
        <v>45947</v>
      </c>
    </row>
    <row r="658" spans="1:1">
      <c r="A658" s="6">
        <f t="shared" si="10"/>
        <v>45948</v>
      </c>
    </row>
    <row r="659" spans="1:1">
      <c r="A659" s="6">
        <f t="shared" si="10"/>
        <v>45949</v>
      </c>
    </row>
    <row r="660" spans="1:1">
      <c r="A660" s="6">
        <f t="shared" si="10"/>
        <v>45950</v>
      </c>
    </row>
    <row r="661" spans="1:1">
      <c r="A661" s="6">
        <f t="shared" si="10"/>
        <v>45951</v>
      </c>
    </row>
    <row r="662" spans="1:1">
      <c r="A662" s="6">
        <f t="shared" si="10"/>
        <v>45952</v>
      </c>
    </row>
    <row r="663" spans="1:1">
      <c r="A663" s="6">
        <f t="shared" si="10"/>
        <v>45953</v>
      </c>
    </row>
    <row r="664" spans="1:1">
      <c r="A664" s="6">
        <f t="shared" si="10"/>
        <v>45954</v>
      </c>
    </row>
    <row r="665" spans="1:1">
      <c r="A665" s="6">
        <f t="shared" si="10"/>
        <v>45955</v>
      </c>
    </row>
    <row r="666" spans="1:1">
      <c r="A666" s="6">
        <f t="shared" si="10"/>
        <v>45956</v>
      </c>
    </row>
    <row r="667" spans="1:1">
      <c r="A667" s="6">
        <f t="shared" si="10"/>
        <v>45957</v>
      </c>
    </row>
    <row r="668" spans="1:1">
      <c r="A668" s="6">
        <f t="shared" si="10"/>
        <v>45958</v>
      </c>
    </row>
    <row r="669" spans="1:1">
      <c r="A669" s="6">
        <f t="shared" si="10"/>
        <v>45959</v>
      </c>
    </row>
    <row r="670" spans="1:1">
      <c r="A670" s="6">
        <f t="shared" si="10"/>
        <v>45960</v>
      </c>
    </row>
    <row r="671" spans="1:1">
      <c r="A671" s="6">
        <f t="shared" si="10"/>
        <v>45961</v>
      </c>
    </row>
    <row r="672" spans="1:1">
      <c r="A672" s="6">
        <f t="shared" si="10"/>
        <v>45962</v>
      </c>
    </row>
    <row r="673" spans="1:1">
      <c r="A673" s="6">
        <f t="shared" si="10"/>
        <v>45963</v>
      </c>
    </row>
    <row r="674" spans="1:1">
      <c r="A674" s="6">
        <f t="shared" si="10"/>
        <v>45964</v>
      </c>
    </row>
    <row r="675" spans="1:1">
      <c r="A675" s="6">
        <f t="shared" si="10"/>
        <v>45965</v>
      </c>
    </row>
    <row r="676" spans="1:1">
      <c r="A676" s="6">
        <f t="shared" si="10"/>
        <v>45966</v>
      </c>
    </row>
    <row r="677" spans="1:1">
      <c r="A677" s="6">
        <f t="shared" si="10"/>
        <v>45967</v>
      </c>
    </row>
    <row r="678" spans="1:1">
      <c r="A678" s="6">
        <f t="shared" si="10"/>
        <v>45968</v>
      </c>
    </row>
    <row r="679" spans="1:1">
      <c r="A679" s="6">
        <f t="shared" si="10"/>
        <v>45969</v>
      </c>
    </row>
    <row r="680" spans="1:1">
      <c r="A680" s="6">
        <f t="shared" si="10"/>
        <v>45970</v>
      </c>
    </row>
    <row r="681" spans="1:1">
      <c r="A681" s="6">
        <f t="shared" si="10"/>
        <v>45971</v>
      </c>
    </row>
    <row r="682" spans="1:1">
      <c r="A682" s="6">
        <f t="shared" si="10"/>
        <v>45972</v>
      </c>
    </row>
    <row r="683" spans="1:1">
      <c r="A683" s="6">
        <f t="shared" si="10"/>
        <v>45973</v>
      </c>
    </row>
    <row r="684" spans="1:1">
      <c r="A684" s="6">
        <f t="shared" si="10"/>
        <v>45974</v>
      </c>
    </row>
    <row r="685" spans="1:1">
      <c r="A685" s="6">
        <f t="shared" si="10"/>
        <v>45975</v>
      </c>
    </row>
    <row r="686" spans="1:1">
      <c r="A686" s="6">
        <f t="shared" si="10"/>
        <v>45976</v>
      </c>
    </row>
    <row r="687" spans="1:1">
      <c r="A687" s="6">
        <f t="shared" si="10"/>
        <v>45977</v>
      </c>
    </row>
    <row r="688" spans="1:1">
      <c r="A688" s="6">
        <f t="shared" si="10"/>
        <v>45978</v>
      </c>
    </row>
    <row r="689" spans="1:1">
      <c r="A689" s="6">
        <f t="shared" si="10"/>
        <v>45979</v>
      </c>
    </row>
    <row r="690" spans="1:1">
      <c r="A690" s="6">
        <f t="shared" si="10"/>
        <v>45980</v>
      </c>
    </row>
    <row r="691" spans="1:1">
      <c r="A691" s="6">
        <f t="shared" si="10"/>
        <v>45981</v>
      </c>
    </row>
    <row r="692" spans="1:1">
      <c r="A692" s="6">
        <f t="shared" si="10"/>
        <v>45982</v>
      </c>
    </row>
    <row r="693" spans="1:1">
      <c r="A693" s="6">
        <f t="shared" si="10"/>
        <v>45983</v>
      </c>
    </row>
    <row r="694" spans="1:1">
      <c r="A694" s="6">
        <f t="shared" si="10"/>
        <v>45984</v>
      </c>
    </row>
    <row r="695" spans="1:1">
      <c r="A695" s="6">
        <f t="shared" si="10"/>
        <v>45985</v>
      </c>
    </row>
    <row r="696" spans="1:1">
      <c r="A696" s="6">
        <f t="shared" si="10"/>
        <v>45986</v>
      </c>
    </row>
    <row r="697" spans="1:1">
      <c r="A697" s="6">
        <f t="shared" si="10"/>
        <v>45987</v>
      </c>
    </row>
    <row r="698" spans="1:1">
      <c r="A698" s="6">
        <f t="shared" si="10"/>
        <v>45988</v>
      </c>
    </row>
    <row r="699" spans="1:1">
      <c r="A699" s="6">
        <f t="shared" si="10"/>
        <v>45989</v>
      </c>
    </row>
    <row r="700" spans="1:1">
      <c r="A700" s="6">
        <f t="shared" si="10"/>
        <v>45990</v>
      </c>
    </row>
    <row r="701" spans="1:1">
      <c r="A701" s="6">
        <f t="shared" si="10"/>
        <v>45991</v>
      </c>
    </row>
    <row r="702" spans="1:1">
      <c r="A702" s="6">
        <f t="shared" si="10"/>
        <v>45992</v>
      </c>
    </row>
    <row r="703" spans="1:1">
      <c r="A703" s="6">
        <f t="shared" si="10"/>
        <v>45993</v>
      </c>
    </row>
    <row r="704" spans="1:1">
      <c r="A704" s="6">
        <f t="shared" si="10"/>
        <v>45994</v>
      </c>
    </row>
    <row r="705" spans="1:1">
      <c r="A705" s="6">
        <f t="shared" si="10"/>
        <v>45995</v>
      </c>
    </row>
    <row r="706" spans="1:1">
      <c r="A706" s="6">
        <f t="shared" si="10"/>
        <v>45996</v>
      </c>
    </row>
    <row r="707" spans="1:1">
      <c r="A707" s="6">
        <f t="shared" si="10"/>
        <v>45997</v>
      </c>
    </row>
    <row r="708" spans="1:1">
      <c r="A708" s="6">
        <f t="shared" ref="A708:A771" si="11">A707+1</f>
        <v>45998</v>
      </c>
    </row>
    <row r="709" spans="1:1">
      <c r="A709" s="6">
        <f t="shared" si="11"/>
        <v>45999</v>
      </c>
    </row>
    <row r="710" spans="1:1">
      <c r="A710" s="6">
        <f t="shared" si="11"/>
        <v>46000</v>
      </c>
    </row>
    <row r="711" spans="1:1">
      <c r="A711" s="6">
        <f t="shared" si="11"/>
        <v>46001</v>
      </c>
    </row>
    <row r="712" spans="1:1">
      <c r="A712" s="6">
        <f t="shared" si="11"/>
        <v>46002</v>
      </c>
    </row>
    <row r="713" spans="1:1">
      <c r="A713" s="6">
        <f t="shared" si="11"/>
        <v>46003</v>
      </c>
    </row>
    <row r="714" spans="1:1">
      <c r="A714" s="6">
        <f t="shared" si="11"/>
        <v>46004</v>
      </c>
    </row>
    <row r="715" spans="1:1">
      <c r="A715" s="6">
        <f t="shared" si="11"/>
        <v>46005</v>
      </c>
    </row>
    <row r="716" spans="1:1">
      <c r="A716" s="6">
        <f t="shared" si="11"/>
        <v>46006</v>
      </c>
    </row>
    <row r="717" spans="1:1">
      <c r="A717" s="6">
        <f t="shared" si="11"/>
        <v>46007</v>
      </c>
    </row>
    <row r="718" spans="1:1">
      <c r="A718" s="6">
        <f t="shared" si="11"/>
        <v>46008</v>
      </c>
    </row>
    <row r="719" spans="1:1">
      <c r="A719" s="6">
        <f t="shared" si="11"/>
        <v>46009</v>
      </c>
    </row>
    <row r="720" spans="1:1">
      <c r="A720" s="6">
        <f t="shared" si="11"/>
        <v>46010</v>
      </c>
    </row>
    <row r="721" spans="1:1">
      <c r="A721" s="6">
        <f t="shared" si="11"/>
        <v>46011</v>
      </c>
    </row>
    <row r="722" spans="1:1">
      <c r="A722" s="6">
        <f t="shared" si="11"/>
        <v>46012</v>
      </c>
    </row>
    <row r="723" spans="1:1">
      <c r="A723" s="6">
        <f t="shared" si="11"/>
        <v>46013</v>
      </c>
    </row>
    <row r="724" spans="1:1">
      <c r="A724" s="6">
        <f t="shared" si="11"/>
        <v>46014</v>
      </c>
    </row>
    <row r="725" spans="1:1">
      <c r="A725" s="6">
        <f t="shared" si="11"/>
        <v>46015</v>
      </c>
    </row>
    <row r="726" spans="1:1">
      <c r="A726" s="6">
        <f t="shared" si="11"/>
        <v>46016</v>
      </c>
    </row>
    <row r="727" spans="1:1">
      <c r="A727" s="6">
        <f t="shared" si="11"/>
        <v>46017</v>
      </c>
    </row>
    <row r="728" spans="1:1">
      <c r="A728" s="6">
        <f t="shared" si="11"/>
        <v>46018</v>
      </c>
    </row>
    <row r="729" spans="1:1">
      <c r="A729" s="6">
        <f t="shared" si="11"/>
        <v>46019</v>
      </c>
    </row>
    <row r="730" spans="1:1">
      <c r="A730" s="6">
        <f t="shared" si="11"/>
        <v>46020</v>
      </c>
    </row>
    <row r="731" spans="1:1">
      <c r="A731" s="6">
        <f t="shared" si="11"/>
        <v>46021</v>
      </c>
    </row>
    <row r="732" spans="1:1">
      <c r="A732" s="6">
        <f t="shared" si="11"/>
        <v>46022</v>
      </c>
    </row>
    <row r="733" spans="1:1">
      <c r="A733" s="6">
        <f t="shared" si="11"/>
        <v>46023</v>
      </c>
    </row>
    <row r="734" spans="1:1">
      <c r="A734" s="6">
        <f t="shared" si="11"/>
        <v>46024</v>
      </c>
    </row>
    <row r="735" spans="1:1">
      <c r="A735" s="6">
        <f t="shared" si="11"/>
        <v>46025</v>
      </c>
    </row>
    <row r="736" spans="1:1">
      <c r="A736" s="6">
        <f t="shared" si="11"/>
        <v>46026</v>
      </c>
    </row>
    <row r="737" spans="1:1">
      <c r="A737" s="6">
        <f t="shared" si="11"/>
        <v>46027</v>
      </c>
    </row>
    <row r="738" spans="1:1">
      <c r="A738" s="6">
        <f t="shared" si="11"/>
        <v>46028</v>
      </c>
    </row>
    <row r="739" spans="1:1">
      <c r="A739" s="6">
        <f t="shared" si="11"/>
        <v>46029</v>
      </c>
    </row>
    <row r="740" spans="1:1">
      <c r="A740" s="6">
        <f t="shared" si="11"/>
        <v>46030</v>
      </c>
    </row>
    <row r="741" spans="1:1">
      <c r="A741" s="6">
        <f t="shared" si="11"/>
        <v>46031</v>
      </c>
    </row>
    <row r="742" spans="1:1">
      <c r="A742" s="6">
        <f t="shared" si="11"/>
        <v>46032</v>
      </c>
    </row>
    <row r="743" spans="1:1">
      <c r="A743" s="6">
        <f t="shared" si="11"/>
        <v>46033</v>
      </c>
    </row>
    <row r="744" spans="1:1">
      <c r="A744" s="6">
        <f t="shared" si="11"/>
        <v>46034</v>
      </c>
    </row>
    <row r="745" spans="1:1">
      <c r="A745" s="6">
        <f t="shared" si="11"/>
        <v>46035</v>
      </c>
    </row>
    <row r="746" spans="1:1">
      <c r="A746" s="6">
        <f t="shared" si="11"/>
        <v>46036</v>
      </c>
    </row>
    <row r="747" spans="1:1">
      <c r="A747" s="6">
        <f t="shared" si="11"/>
        <v>46037</v>
      </c>
    </row>
    <row r="748" spans="1:1">
      <c r="A748" s="6">
        <f t="shared" si="11"/>
        <v>46038</v>
      </c>
    </row>
    <row r="749" spans="1:1">
      <c r="A749" s="6">
        <f t="shared" si="11"/>
        <v>46039</v>
      </c>
    </row>
    <row r="750" spans="1:1">
      <c r="A750" s="6">
        <f t="shared" si="11"/>
        <v>46040</v>
      </c>
    </row>
    <row r="751" spans="1:1">
      <c r="A751" s="6">
        <f t="shared" si="11"/>
        <v>46041</v>
      </c>
    </row>
    <row r="752" spans="1:1">
      <c r="A752" s="6">
        <f t="shared" si="11"/>
        <v>46042</v>
      </c>
    </row>
    <row r="753" spans="1:1">
      <c r="A753" s="6">
        <f t="shared" si="11"/>
        <v>46043</v>
      </c>
    </row>
    <row r="754" spans="1:1">
      <c r="A754" s="6">
        <f t="shared" si="11"/>
        <v>46044</v>
      </c>
    </row>
    <row r="755" spans="1:1">
      <c r="A755" s="6">
        <f t="shared" si="11"/>
        <v>46045</v>
      </c>
    </row>
    <row r="756" spans="1:1">
      <c r="A756" s="6">
        <f t="shared" si="11"/>
        <v>46046</v>
      </c>
    </row>
    <row r="757" spans="1:1">
      <c r="A757" s="6">
        <f t="shared" si="11"/>
        <v>46047</v>
      </c>
    </row>
    <row r="758" spans="1:1">
      <c r="A758" s="6">
        <f t="shared" si="11"/>
        <v>46048</v>
      </c>
    </row>
    <row r="759" spans="1:1">
      <c r="A759" s="6">
        <f t="shared" si="11"/>
        <v>46049</v>
      </c>
    </row>
    <row r="760" spans="1:1">
      <c r="A760" s="6">
        <f t="shared" si="11"/>
        <v>46050</v>
      </c>
    </row>
    <row r="761" spans="1:1">
      <c r="A761" s="6">
        <f t="shared" si="11"/>
        <v>46051</v>
      </c>
    </row>
    <row r="762" spans="1:1">
      <c r="A762" s="6">
        <f t="shared" si="11"/>
        <v>46052</v>
      </c>
    </row>
    <row r="763" spans="1:1">
      <c r="A763" s="6">
        <f t="shared" si="11"/>
        <v>46053</v>
      </c>
    </row>
    <row r="764" spans="1:1">
      <c r="A764" s="6">
        <f t="shared" si="11"/>
        <v>46054</v>
      </c>
    </row>
    <row r="765" spans="1:1">
      <c r="A765" s="6">
        <f t="shared" si="11"/>
        <v>46055</v>
      </c>
    </row>
    <row r="766" spans="1:1">
      <c r="A766" s="6">
        <f t="shared" si="11"/>
        <v>46056</v>
      </c>
    </row>
    <row r="767" spans="1:1">
      <c r="A767" s="6">
        <f t="shared" si="11"/>
        <v>46057</v>
      </c>
    </row>
    <row r="768" spans="1:1">
      <c r="A768" s="6">
        <f t="shared" si="11"/>
        <v>46058</v>
      </c>
    </row>
    <row r="769" spans="1:1">
      <c r="A769" s="6">
        <f t="shared" si="11"/>
        <v>46059</v>
      </c>
    </row>
    <row r="770" spans="1:1">
      <c r="A770" s="6">
        <f t="shared" si="11"/>
        <v>46060</v>
      </c>
    </row>
    <row r="771" spans="1:1">
      <c r="A771" s="6">
        <f t="shared" si="11"/>
        <v>46061</v>
      </c>
    </row>
    <row r="772" spans="1:1">
      <c r="A772" s="6">
        <f t="shared" ref="A772:A835" si="12">A771+1</f>
        <v>46062</v>
      </c>
    </row>
    <row r="773" spans="1:1">
      <c r="A773" s="6">
        <f t="shared" si="12"/>
        <v>46063</v>
      </c>
    </row>
    <row r="774" spans="1:1">
      <c r="A774" s="6">
        <f t="shared" si="12"/>
        <v>46064</v>
      </c>
    </row>
    <row r="775" spans="1:1">
      <c r="A775" s="6">
        <f t="shared" si="12"/>
        <v>46065</v>
      </c>
    </row>
    <row r="776" spans="1:1">
      <c r="A776" s="6">
        <f t="shared" si="12"/>
        <v>46066</v>
      </c>
    </row>
    <row r="777" spans="1:1">
      <c r="A777" s="6">
        <f t="shared" si="12"/>
        <v>46067</v>
      </c>
    </row>
    <row r="778" spans="1:1">
      <c r="A778" s="6">
        <f t="shared" si="12"/>
        <v>46068</v>
      </c>
    </row>
    <row r="779" spans="1:1">
      <c r="A779" s="6">
        <f t="shared" si="12"/>
        <v>46069</v>
      </c>
    </row>
    <row r="780" spans="1:1">
      <c r="A780" s="6">
        <f t="shared" si="12"/>
        <v>46070</v>
      </c>
    </row>
    <row r="781" spans="1:1">
      <c r="A781" s="6">
        <f t="shared" si="12"/>
        <v>46071</v>
      </c>
    </row>
    <row r="782" spans="1:1">
      <c r="A782" s="6">
        <f t="shared" si="12"/>
        <v>46072</v>
      </c>
    </row>
    <row r="783" spans="1:1">
      <c r="A783" s="6">
        <f t="shared" si="12"/>
        <v>46073</v>
      </c>
    </row>
    <row r="784" spans="1:1">
      <c r="A784" s="6">
        <f t="shared" si="12"/>
        <v>46074</v>
      </c>
    </row>
    <row r="785" spans="1:1">
      <c r="A785" s="6">
        <f t="shared" si="12"/>
        <v>46075</v>
      </c>
    </row>
    <row r="786" spans="1:1">
      <c r="A786" s="6">
        <f t="shared" si="12"/>
        <v>46076</v>
      </c>
    </row>
    <row r="787" spans="1:1">
      <c r="A787" s="6">
        <f t="shared" si="12"/>
        <v>46077</v>
      </c>
    </row>
    <row r="788" spans="1:1">
      <c r="A788" s="6">
        <f t="shared" si="12"/>
        <v>46078</v>
      </c>
    </row>
    <row r="789" spans="1:1">
      <c r="A789" s="6">
        <f t="shared" si="12"/>
        <v>46079</v>
      </c>
    </row>
    <row r="790" spans="1:1">
      <c r="A790" s="6">
        <f t="shared" si="12"/>
        <v>46080</v>
      </c>
    </row>
    <row r="791" spans="1:1">
      <c r="A791" s="6">
        <f t="shared" si="12"/>
        <v>46081</v>
      </c>
    </row>
    <row r="792" spans="1:1">
      <c r="A792" s="6">
        <f t="shared" si="12"/>
        <v>46082</v>
      </c>
    </row>
    <row r="793" spans="1:1">
      <c r="A793" s="6">
        <f t="shared" si="12"/>
        <v>46083</v>
      </c>
    </row>
    <row r="794" spans="1:1">
      <c r="A794" s="6">
        <f t="shared" si="12"/>
        <v>46084</v>
      </c>
    </row>
    <row r="795" spans="1:1">
      <c r="A795" s="6">
        <f t="shared" si="12"/>
        <v>46085</v>
      </c>
    </row>
    <row r="796" spans="1:1">
      <c r="A796" s="6">
        <f t="shared" si="12"/>
        <v>46086</v>
      </c>
    </row>
    <row r="797" spans="1:1">
      <c r="A797" s="6">
        <f t="shared" si="12"/>
        <v>46087</v>
      </c>
    </row>
    <row r="798" spans="1:1">
      <c r="A798" s="6">
        <f t="shared" si="12"/>
        <v>46088</v>
      </c>
    </row>
    <row r="799" spans="1:1">
      <c r="A799" s="6">
        <f t="shared" si="12"/>
        <v>46089</v>
      </c>
    </row>
    <row r="800" spans="1:1">
      <c r="A800" s="6">
        <f t="shared" si="12"/>
        <v>46090</v>
      </c>
    </row>
    <row r="801" spans="1:1">
      <c r="A801" s="6">
        <f t="shared" si="12"/>
        <v>46091</v>
      </c>
    </row>
    <row r="802" spans="1:1">
      <c r="A802" s="6">
        <f t="shared" si="12"/>
        <v>46092</v>
      </c>
    </row>
    <row r="803" spans="1:1">
      <c r="A803" s="6">
        <f t="shared" si="12"/>
        <v>46093</v>
      </c>
    </row>
    <row r="804" spans="1:1">
      <c r="A804" s="6">
        <f t="shared" si="12"/>
        <v>46094</v>
      </c>
    </row>
    <row r="805" spans="1:1">
      <c r="A805" s="6">
        <f t="shared" si="12"/>
        <v>46095</v>
      </c>
    </row>
    <row r="806" spans="1:1">
      <c r="A806" s="6">
        <f t="shared" si="12"/>
        <v>46096</v>
      </c>
    </row>
    <row r="807" spans="1:1">
      <c r="A807" s="6">
        <f t="shared" si="12"/>
        <v>46097</v>
      </c>
    </row>
    <row r="808" spans="1:1">
      <c r="A808" s="6">
        <f t="shared" si="12"/>
        <v>46098</v>
      </c>
    </row>
    <row r="809" spans="1:1">
      <c r="A809" s="6">
        <f t="shared" si="12"/>
        <v>46099</v>
      </c>
    </row>
    <row r="810" spans="1:1">
      <c r="A810" s="6">
        <f t="shared" si="12"/>
        <v>46100</v>
      </c>
    </row>
    <row r="811" spans="1:1">
      <c r="A811" s="6">
        <f t="shared" si="12"/>
        <v>46101</v>
      </c>
    </row>
    <row r="812" spans="1:1">
      <c r="A812" s="6">
        <f t="shared" si="12"/>
        <v>46102</v>
      </c>
    </row>
    <row r="813" spans="1:1">
      <c r="A813" s="6">
        <f t="shared" si="12"/>
        <v>46103</v>
      </c>
    </row>
    <row r="814" spans="1:1">
      <c r="A814" s="6">
        <f t="shared" si="12"/>
        <v>46104</v>
      </c>
    </row>
    <row r="815" spans="1:1">
      <c r="A815" s="6">
        <f t="shared" si="12"/>
        <v>46105</v>
      </c>
    </row>
    <row r="816" spans="1:1">
      <c r="A816" s="6">
        <f t="shared" si="12"/>
        <v>46106</v>
      </c>
    </row>
    <row r="817" spans="1:1">
      <c r="A817" s="6">
        <f t="shared" si="12"/>
        <v>46107</v>
      </c>
    </row>
    <row r="818" spans="1:1">
      <c r="A818" s="6">
        <f t="shared" si="12"/>
        <v>46108</v>
      </c>
    </row>
    <row r="819" spans="1:1">
      <c r="A819" s="6">
        <f t="shared" si="12"/>
        <v>46109</v>
      </c>
    </row>
    <row r="820" spans="1:1">
      <c r="A820" s="6">
        <f t="shared" si="12"/>
        <v>46110</v>
      </c>
    </row>
    <row r="821" spans="1:1">
      <c r="A821" s="6">
        <f t="shared" si="12"/>
        <v>46111</v>
      </c>
    </row>
    <row r="822" spans="1:1">
      <c r="A822" s="6">
        <f t="shared" si="12"/>
        <v>46112</v>
      </c>
    </row>
    <row r="823" spans="1:1">
      <c r="A823" s="6">
        <f t="shared" si="12"/>
        <v>46113</v>
      </c>
    </row>
    <row r="824" spans="1:1">
      <c r="A824" s="6">
        <f t="shared" si="12"/>
        <v>46114</v>
      </c>
    </row>
    <row r="825" spans="1:1">
      <c r="A825" s="6">
        <f t="shared" si="12"/>
        <v>46115</v>
      </c>
    </row>
    <row r="826" spans="1:1">
      <c r="A826" s="6">
        <f t="shared" si="12"/>
        <v>46116</v>
      </c>
    </row>
    <row r="827" spans="1:1">
      <c r="A827" s="6">
        <f t="shared" si="12"/>
        <v>46117</v>
      </c>
    </row>
    <row r="828" spans="1:1">
      <c r="A828" s="6">
        <f t="shared" si="12"/>
        <v>46118</v>
      </c>
    </row>
    <row r="829" spans="1:1">
      <c r="A829" s="6">
        <f t="shared" si="12"/>
        <v>46119</v>
      </c>
    </row>
    <row r="830" spans="1:1">
      <c r="A830" s="6">
        <f t="shared" si="12"/>
        <v>46120</v>
      </c>
    </row>
    <row r="831" spans="1:1">
      <c r="A831" s="6">
        <f t="shared" si="12"/>
        <v>46121</v>
      </c>
    </row>
    <row r="832" spans="1:1">
      <c r="A832" s="6">
        <f t="shared" si="12"/>
        <v>46122</v>
      </c>
    </row>
    <row r="833" spans="1:1">
      <c r="A833" s="6">
        <f t="shared" si="12"/>
        <v>46123</v>
      </c>
    </row>
    <row r="834" spans="1:1">
      <c r="A834" s="6">
        <f t="shared" si="12"/>
        <v>46124</v>
      </c>
    </row>
    <row r="835" spans="1:1">
      <c r="A835" s="6">
        <f t="shared" si="12"/>
        <v>46125</v>
      </c>
    </row>
    <row r="836" spans="1:1">
      <c r="A836" s="6">
        <f t="shared" ref="A836:A899" si="13">A835+1</f>
        <v>46126</v>
      </c>
    </row>
    <row r="837" spans="1:1">
      <c r="A837" s="6">
        <f t="shared" si="13"/>
        <v>46127</v>
      </c>
    </row>
    <row r="838" spans="1:1">
      <c r="A838" s="6">
        <f t="shared" si="13"/>
        <v>46128</v>
      </c>
    </row>
    <row r="839" spans="1:1">
      <c r="A839" s="6">
        <f t="shared" si="13"/>
        <v>46129</v>
      </c>
    </row>
    <row r="840" spans="1:1">
      <c r="A840" s="6">
        <f t="shared" si="13"/>
        <v>46130</v>
      </c>
    </row>
    <row r="841" spans="1:1">
      <c r="A841" s="6">
        <f t="shared" si="13"/>
        <v>46131</v>
      </c>
    </row>
    <row r="842" spans="1:1">
      <c r="A842" s="6">
        <f t="shared" si="13"/>
        <v>46132</v>
      </c>
    </row>
    <row r="843" spans="1:1">
      <c r="A843" s="6">
        <f t="shared" si="13"/>
        <v>46133</v>
      </c>
    </row>
    <row r="844" spans="1:1">
      <c r="A844" s="6">
        <f t="shared" si="13"/>
        <v>46134</v>
      </c>
    </row>
    <row r="845" spans="1:1">
      <c r="A845" s="6">
        <f t="shared" si="13"/>
        <v>46135</v>
      </c>
    </row>
    <row r="846" spans="1:1">
      <c r="A846" s="6">
        <f t="shared" si="13"/>
        <v>46136</v>
      </c>
    </row>
    <row r="847" spans="1:1">
      <c r="A847" s="6">
        <f t="shared" si="13"/>
        <v>46137</v>
      </c>
    </row>
    <row r="848" spans="1:1">
      <c r="A848" s="6">
        <f t="shared" si="13"/>
        <v>46138</v>
      </c>
    </row>
    <row r="849" spans="1:1">
      <c r="A849" s="6">
        <f t="shared" si="13"/>
        <v>46139</v>
      </c>
    </row>
    <row r="850" spans="1:1">
      <c r="A850" s="6">
        <f t="shared" si="13"/>
        <v>46140</v>
      </c>
    </row>
    <row r="851" spans="1:1">
      <c r="A851" s="6">
        <f t="shared" si="13"/>
        <v>46141</v>
      </c>
    </row>
    <row r="852" spans="1:1">
      <c r="A852" s="6">
        <f t="shared" si="13"/>
        <v>46142</v>
      </c>
    </row>
    <row r="853" spans="1:1">
      <c r="A853" s="6">
        <f t="shared" si="13"/>
        <v>46143</v>
      </c>
    </row>
    <row r="854" spans="1:1">
      <c r="A854" s="6">
        <f t="shared" si="13"/>
        <v>46144</v>
      </c>
    </row>
    <row r="855" spans="1:1">
      <c r="A855" s="6">
        <f t="shared" si="13"/>
        <v>46145</v>
      </c>
    </row>
    <row r="856" spans="1:1">
      <c r="A856" s="6">
        <f t="shared" si="13"/>
        <v>46146</v>
      </c>
    </row>
    <row r="857" spans="1:1">
      <c r="A857" s="6">
        <f t="shared" si="13"/>
        <v>46147</v>
      </c>
    </row>
    <row r="858" spans="1:1">
      <c r="A858" s="6">
        <f t="shared" si="13"/>
        <v>46148</v>
      </c>
    </row>
    <row r="859" spans="1:1">
      <c r="A859" s="6">
        <f t="shared" si="13"/>
        <v>46149</v>
      </c>
    </row>
    <row r="860" spans="1:1">
      <c r="A860" s="6">
        <f t="shared" si="13"/>
        <v>46150</v>
      </c>
    </row>
    <row r="861" spans="1:1">
      <c r="A861" s="6">
        <f t="shared" si="13"/>
        <v>46151</v>
      </c>
    </row>
    <row r="862" spans="1:1">
      <c r="A862" s="6">
        <f t="shared" si="13"/>
        <v>46152</v>
      </c>
    </row>
    <row r="863" spans="1:1">
      <c r="A863" s="6">
        <f t="shared" si="13"/>
        <v>46153</v>
      </c>
    </row>
    <row r="864" spans="1:1">
      <c r="A864" s="6">
        <f t="shared" si="13"/>
        <v>46154</v>
      </c>
    </row>
    <row r="865" spans="1:1">
      <c r="A865" s="6">
        <f t="shared" si="13"/>
        <v>46155</v>
      </c>
    </row>
    <row r="866" spans="1:1">
      <c r="A866" s="6">
        <f t="shared" si="13"/>
        <v>46156</v>
      </c>
    </row>
    <row r="867" spans="1:1">
      <c r="A867" s="6">
        <f t="shared" si="13"/>
        <v>46157</v>
      </c>
    </row>
    <row r="868" spans="1:1">
      <c r="A868" s="6">
        <f t="shared" si="13"/>
        <v>46158</v>
      </c>
    </row>
    <row r="869" spans="1:1">
      <c r="A869" s="6">
        <f t="shared" si="13"/>
        <v>46159</v>
      </c>
    </row>
    <row r="870" spans="1:1">
      <c r="A870" s="6">
        <f t="shared" si="13"/>
        <v>46160</v>
      </c>
    </row>
    <row r="871" spans="1:1">
      <c r="A871" s="6">
        <f t="shared" si="13"/>
        <v>46161</v>
      </c>
    </row>
    <row r="872" spans="1:1">
      <c r="A872" s="6">
        <f t="shared" si="13"/>
        <v>46162</v>
      </c>
    </row>
    <row r="873" spans="1:1">
      <c r="A873" s="6">
        <f t="shared" si="13"/>
        <v>46163</v>
      </c>
    </row>
    <row r="874" spans="1:1">
      <c r="A874" s="6">
        <f t="shared" si="13"/>
        <v>46164</v>
      </c>
    </row>
    <row r="875" spans="1:1">
      <c r="A875" s="6">
        <f t="shared" si="13"/>
        <v>46165</v>
      </c>
    </row>
    <row r="876" spans="1:1">
      <c r="A876" s="6">
        <f t="shared" si="13"/>
        <v>46166</v>
      </c>
    </row>
    <row r="877" spans="1:1">
      <c r="A877" s="6">
        <f t="shared" si="13"/>
        <v>46167</v>
      </c>
    </row>
    <row r="878" spans="1:1">
      <c r="A878" s="6">
        <f t="shared" si="13"/>
        <v>46168</v>
      </c>
    </row>
    <row r="879" spans="1:1">
      <c r="A879" s="6">
        <f t="shared" si="13"/>
        <v>46169</v>
      </c>
    </row>
    <row r="880" spans="1:1">
      <c r="A880" s="6">
        <f t="shared" si="13"/>
        <v>46170</v>
      </c>
    </row>
    <row r="881" spans="1:1">
      <c r="A881" s="6">
        <f t="shared" si="13"/>
        <v>46171</v>
      </c>
    </row>
    <row r="882" spans="1:1">
      <c r="A882" s="6">
        <f t="shared" si="13"/>
        <v>46172</v>
      </c>
    </row>
    <row r="883" spans="1:1">
      <c r="A883" s="6">
        <f t="shared" si="13"/>
        <v>46173</v>
      </c>
    </row>
    <row r="884" spans="1:1">
      <c r="A884" s="6">
        <f t="shared" si="13"/>
        <v>46174</v>
      </c>
    </row>
    <row r="885" spans="1:1">
      <c r="A885" s="6">
        <f t="shared" si="13"/>
        <v>46175</v>
      </c>
    </row>
    <row r="886" spans="1:1">
      <c r="A886" s="6">
        <f t="shared" si="13"/>
        <v>46176</v>
      </c>
    </row>
    <row r="887" spans="1:1">
      <c r="A887" s="6">
        <f t="shared" si="13"/>
        <v>46177</v>
      </c>
    </row>
    <row r="888" spans="1:1">
      <c r="A888" s="6">
        <f t="shared" si="13"/>
        <v>46178</v>
      </c>
    </row>
    <row r="889" spans="1:1">
      <c r="A889" s="6">
        <f t="shared" si="13"/>
        <v>46179</v>
      </c>
    </row>
    <row r="890" spans="1:1">
      <c r="A890" s="6">
        <f t="shared" si="13"/>
        <v>46180</v>
      </c>
    </row>
    <row r="891" spans="1:1">
      <c r="A891" s="6">
        <f t="shared" si="13"/>
        <v>46181</v>
      </c>
    </row>
    <row r="892" spans="1:1">
      <c r="A892" s="6">
        <f t="shared" si="13"/>
        <v>46182</v>
      </c>
    </row>
    <row r="893" spans="1:1">
      <c r="A893" s="6">
        <f t="shared" si="13"/>
        <v>46183</v>
      </c>
    </row>
    <row r="894" spans="1:1">
      <c r="A894" s="6">
        <f t="shared" si="13"/>
        <v>46184</v>
      </c>
    </row>
    <row r="895" spans="1:1">
      <c r="A895" s="6">
        <f t="shared" si="13"/>
        <v>46185</v>
      </c>
    </row>
    <row r="896" spans="1:1">
      <c r="A896" s="6">
        <f t="shared" si="13"/>
        <v>46186</v>
      </c>
    </row>
    <row r="897" spans="1:1">
      <c r="A897" s="6">
        <f t="shared" si="13"/>
        <v>46187</v>
      </c>
    </row>
    <row r="898" spans="1:1">
      <c r="A898" s="6">
        <f t="shared" si="13"/>
        <v>46188</v>
      </c>
    </row>
    <row r="899" spans="1:1">
      <c r="A899" s="6">
        <f t="shared" si="13"/>
        <v>46189</v>
      </c>
    </row>
    <row r="900" spans="1:1">
      <c r="A900" s="6">
        <f t="shared" ref="A900:A963" si="14">A899+1</f>
        <v>46190</v>
      </c>
    </row>
    <row r="901" spans="1:1">
      <c r="A901" s="6">
        <f t="shared" si="14"/>
        <v>46191</v>
      </c>
    </row>
    <row r="902" spans="1:1">
      <c r="A902" s="6">
        <f t="shared" si="14"/>
        <v>46192</v>
      </c>
    </row>
    <row r="903" spans="1:1">
      <c r="A903" s="6">
        <f t="shared" si="14"/>
        <v>46193</v>
      </c>
    </row>
    <row r="904" spans="1:1">
      <c r="A904" s="6">
        <f t="shared" si="14"/>
        <v>46194</v>
      </c>
    </row>
    <row r="905" spans="1:1">
      <c r="A905" s="6">
        <f t="shared" si="14"/>
        <v>46195</v>
      </c>
    </row>
    <row r="906" spans="1:1">
      <c r="A906" s="6">
        <f t="shared" si="14"/>
        <v>46196</v>
      </c>
    </row>
    <row r="907" spans="1:1">
      <c r="A907" s="6">
        <f t="shared" si="14"/>
        <v>46197</v>
      </c>
    </row>
    <row r="908" spans="1:1">
      <c r="A908" s="6">
        <f t="shared" si="14"/>
        <v>46198</v>
      </c>
    </row>
    <row r="909" spans="1:1">
      <c r="A909" s="6">
        <f t="shared" si="14"/>
        <v>46199</v>
      </c>
    </row>
    <row r="910" spans="1:1">
      <c r="A910" s="6">
        <f t="shared" si="14"/>
        <v>46200</v>
      </c>
    </row>
    <row r="911" spans="1:1">
      <c r="A911" s="6">
        <f t="shared" si="14"/>
        <v>46201</v>
      </c>
    </row>
    <row r="912" spans="1:1">
      <c r="A912" s="6">
        <f t="shared" si="14"/>
        <v>46202</v>
      </c>
    </row>
    <row r="913" spans="1:1">
      <c r="A913" s="6">
        <f t="shared" si="14"/>
        <v>46203</v>
      </c>
    </row>
    <row r="914" spans="1:1">
      <c r="A914" s="6">
        <f t="shared" si="14"/>
        <v>46204</v>
      </c>
    </row>
    <row r="915" spans="1:1">
      <c r="A915" s="6">
        <f t="shared" si="14"/>
        <v>46205</v>
      </c>
    </row>
    <row r="916" spans="1:1">
      <c r="A916" s="6">
        <f t="shared" si="14"/>
        <v>46206</v>
      </c>
    </row>
    <row r="917" spans="1:1">
      <c r="A917" s="6">
        <f t="shared" si="14"/>
        <v>46207</v>
      </c>
    </row>
    <row r="918" spans="1:1">
      <c r="A918" s="6">
        <f t="shared" si="14"/>
        <v>46208</v>
      </c>
    </row>
    <row r="919" spans="1:1">
      <c r="A919" s="6">
        <f t="shared" si="14"/>
        <v>46209</v>
      </c>
    </row>
    <row r="920" spans="1:1">
      <c r="A920" s="6">
        <f t="shared" si="14"/>
        <v>46210</v>
      </c>
    </row>
    <row r="921" spans="1:1">
      <c r="A921" s="6">
        <f t="shared" si="14"/>
        <v>46211</v>
      </c>
    </row>
    <row r="922" spans="1:1">
      <c r="A922" s="6">
        <f t="shared" si="14"/>
        <v>46212</v>
      </c>
    </row>
    <row r="923" spans="1:1">
      <c r="A923" s="6">
        <f t="shared" si="14"/>
        <v>46213</v>
      </c>
    </row>
    <row r="924" spans="1:1">
      <c r="A924" s="6">
        <f t="shared" si="14"/>
        <v>46214</v>
      </c>
    </row>
    <row r="925" spans="1:1">
      <c r="A925" s="6">
        <f t="shared" si="14"/>
        <v>46215</v>
      </c>
    </row>
    <row r="926" spans="1:1">
      <c r="A926" s="6">
        <f t="shared" si="14"/>
        <v>46216</v>
      </c>
    </row>
    <row r="927" spans="1:1">
      <c r="A927" s="6">
        <f t="shared" si="14"/>
        <v>46217</v>
      </c>
    </row>
    <row r="928" spans="1:1">
      <c r="A928" s="6">
        <f t="shared" si="14"/>
        <v>46218</v>
      </c>
    </row>
    <row r="929" spans="1:1">
      <c r="A929" s="6">
        <f t="shared" si="14"/>
        <v>46219</v>
      </c>
    </row>
    <row r="930" spans="1:1">
      <c r="A930" s="6">
        <f t="shared" si="14"/>
        <v>46220</v>
      </c>
    </row>
    <row r="931" spans="1:1">
      <c r="A931" s="6">
        <f t="shared" si="14"/>
        <v>46221</v>
      </c>
    </row>
    <row r="932" spans="1:1">
      <c r="A932" s="6">
        <f t="shared" si="14"/>
        <v>46222</v>
      </c>
    </row>
    <row r="933" spans="1:1">
      <c r="A933" s="6">
        <f t="shared" si="14"/>
        <v>46223</v>
      </c>
    </row>
    <row r="934" spans="1:1">
      <c r="A934" s="6">
        <f t="shared" si="14"/>
        <v>46224</v>
      </c>
    </row>
    <row r="935" spans="1:1">
      <c r="A935" s="6">
        <f t="shared" si="14"/>
        <v>46225</v>
      </c>
    </row>
    <row r="936" spans="1:1">
      <c r="A936" s="6">
        <f t="shared" si="14"/>
        <v>46226</v>
      </c>
    </row>
    <row r="937" spans="1:1">
      <c r="A937" s="6">
        <f t="shared" si="14"/>
        <v>46227</v>
      </c>
    </row>
    <row r="938" spans="1:1">
      <c r="A938" s="6">
        <f t="shared" si="14"/>
        <v>46228</v>
      </c>
    </row>
    <row r="939" spans="1:1">
      <c r="A939" s="6">
        <f t="shared" si="14"/>
        <v>46229</v>
      </c>
    </row>
    <row r="940" spans="1:1">
      <c r="A940" s="6">
        <f t="shared" si="14"/>
        <v>46230</v>
      </c>
    </row>
    <row r="941" spans="1:1">
      <c r="A941" s="6">
        <f t="shared" si="14"/>
        <v>46231</v>
      </c>
    </row>
    <row r="942" spans="1:1">
      <c r="A942" s="6">
        <f t="shared" si="14"/>
        <v>46232</v>
      </c>
    </row>
    <row r="943" spans="1:1">
      <c r="A943" s="6">
        <f t="shared" si="14"/>
        <v>46233</v>
      </c>
    </row>
    <row r="944" spans="1:1">
      <c r="A944" s="6">
        <f t="shared" si="14"/>
        <v>46234</v>
      </c>
    </row>
    <row r="945" spans="1:1">
      <c r="A945" s="6">
        <f t="shared" si="14"/>
        <v>46235</v>
      </c>
    </row>
    <row r="946" spans="1:1">
      <c r="A946" s="6">
        <f t="shared" si="14"/>
        <v>46236</v>
      </c>
    </row>
    <row r="947" spans="1:1">
      <c r="A947" s="6">
        <f t="shared" si="14"/>
        <v>46237</v>
      </c>
    </row>
    <row r="948" spans="1:1">
      <c r="A948" s="6">
        <f t="shared" si="14"/>
        <v>46238</v>
      </c>
    </row>
    <row r="949" spans="1:1">
      <c r="A949" s="6">
        <f t="shared" si="14"/>
        <v>46239</v>
      </c>
    </row>
    <row r="950" spans="1:1">
      <c r="A950" s="6">
        <f t="shared" si="14"/>
        <v>46240</v>
      </c>
    </row>
    <row r="951" spans="1:1">
      <c r="A951" s="6">
        <f t="shared" si="14"/>
        <v>46241</v>
      </c>
    </row>
    <row r="952" spans="1:1">
      <c r="A952" s="6">
        <f t="shared" si="14"/>
        <v>46242</v>
      </c>
    </row>
    <row r="953" spans="1:1">
      <c r="A953" s="6">
        <f t="shared" si="14"/>
        <v>46243</v>
      </c>
    </row>
    <row r="954" spans="1:1">
      <c r="A954" s="6">
        <f t="shared" si="14"/>
        <v>46244</v>
      </c>
    </row>
    <row r="955" spans="1:1">
      <c r="A955" s="6">
        <f t="shared" si="14"/>
        <v>46245</v>
      </c>
    </row>
    <row r="956" spans="1:1">
      <c r="A956" s="6">
        <f t="shared" si="14"/>
        <v>46246</v>
      </c>
    </row>
    <row r="957" spans="1:1">
      <c r="A957" s="6">
        <f t="shared" si="14"/>
        <v>46247</v>
      </c>
    </row>
    <row r="958" spans="1:1">
      <c r="A958" s="6">
        <f t="shared" si="14"/>
        <v>46248</v>
      </c>
    </row>
    <row r="959" spans="1:1">
      <c r="A959" s="6">
        <f t="shared" si="14"/>
        <v>46249</v>
      </c>
    </row>
    <row r="960" spans="1:1">
      <c r="A960" s="6">
        <f t="shared" si="14"/>
        <v>46250</v>
      </c>
    </row>
    <row r="961" spans="1:1">
      <c r="A961" s="6">
        <f t="shared" si="14"/>
        <v>46251</v>
      </c>
    </row>
    <row r="962" spans="1:1">
      <c r="A962" s="6">
        <f t="shared" si="14"/>
        <v>46252</v>
      </c>
    </row>
    <row r="963" spans="1:1">
      <c r="A963" s="6">
        <f t="shared" si="14"/>
        <v>46253</v>
      </c>
    </row>
    <row r="964" spans="1:1">
      <c r="A964" s="6">
        <f t="shared" ref="A964:A1027" si="15">A963+1</f>
        <v>46254</v>
      </c>
    </row>
    <row r="965" spans="1:1">
      <c r="A965" s="6">
        <f t="shared" si="15"/>
        <v>46255</v>
      </c>
    </row>
    <row r="966" spans="1:1">
      <c r="A966" s="6">
        <f t="shared" si="15"/>
        <v>46256</v>
      </c>
    </row>
    <row r="967" spans="1:1">
      <c r="A967" s="6">
        <f t="shared" si="15"/>
        <v>46257</v>
      </c>
    </row>
    <row r="968" spans="1:1">
      <c r="A968" s="6">
        <f t="shared" si="15"/>
        <v>46258</v>
      </c>
    </row>
    <row r="969" spans="1:1">
      <c r="A969" s="6">
        <f t="shared" si="15"/>
        <v>46259</v>
      </c>
    </row>
    <row r="970" spans="1:1">
      <c r="A970" s="6">
        <f t="shared" si="15"/>
        <v>46260</v>
      </c>
    </row>
    <row r="971" spans="1:1">
      <c r="A971" s="6">
        <f t="shared" si="15"/>
        <v>46261</v>
      </c>
    </row>
    <row r="972" spans="1:1">
      <c r="A972" s="6">
        <f t="shared" si="15"/>
        <v>46262</v>
      </c>
    </row>
    <row r="973" spans="1:1">
      <c r="A973" s="6">
        <f t="shared" si="15"/>
        <v>46263</v>
      </c>
    </row>
    <row r="974" spans="1:1">
      <c r="A974" s="6">
        <f t="shared" si="15"/>
        <v>46264</v>
      </c>
    </row>
    <row r="975" spans="1:1">
      <c r="A975" s="6">
        <f t="shared" si="15"/>
        <v>46265</v>
      </c>
    </row>
    <row r="976" spans="1:1">
      <c r="A976" s="6">
        <f t="shared" si="15"/>
        <v>46266</v>
      </c>
    </row>
    <row r="977" spans="1:1">
      <c r="A977" s="6">
        <f t="shared" si="15"/>
        <v>46267</v>
      </c>
    </row>
    <row r="978" spans="1:1">
      <c r="A978" s="6">
        <f t="shared" si="15"/>
        <v>46268</v>
      </c>
    </row>
    <row r="979" spans="1:1">
      <c r="A979" s="6">
        <f t="shared" si="15"/>
        <v>46269</v>
      </c>
    </row>
    <row r="980" spans="1:1">
      <c r="A980" s="6">
        <f t="shared" si="15"/>
        <v>46270</v>
      </c>
    </row>
    <row r="981" spans="1:1">
      <c r="A981" s="6">
        <f t="shared" si="15"/>
        <v>46271</v>
      </c>
    </row>
    <row r="982" spans="1:1">
      <c r="A982" s="6">
        <f t="shared" si="15"/>
        <v>46272</v>
      </c>
    </row>
    <row r="983" spans="1:1">
      <c r="A983" s="6">
        <f t="shared" si="15"/>
        <v>46273</v>
      </c>
    </row>
    <row r="984" spans="1:1">
      <c r="A984" s="6">
        <f t="shared" si="15"/>
        <v>46274</v>
      </c>
    </row>
    <row r="985" spans="1:1">
      <c r="A985" s="6">
        <f t="shared" si="15"/>
        <v>46275</v>
      </c>
    </row>
    <row r="986" spans="1:1">
      <c r="A986" s="6">
        <f t="shared" si="15"/>
        <v>46276</v>
      </c>
    </row>
    <row r="987" spans="1:1">
      <c r="A987" s="6">
        <f t="shared" si="15"/>
        <v>46277</v>
      </c>
    </row>
    <row r="988" spans="1:1">
      <c r="A988" s="6">
        <f t="shared" si="15"/>
        <v>46278</v>
      </c>
    </row>
    <row r="989" spans="1:1">
      <c r="A989" s="6">
        <f t="shared" si="15"/>
        <v>46279</v>
      </c>
    </row>
    <row r="990" spans="1:1">
      <c r="A990" s="6">
        <f t="shared" si="15"/>
        <v>46280</v>
      </c>
    </row>
    <row r="991" spans="1:1">
      <c r="A991" s="6">
        <f t="shared" si="15"/>
        <v>46281</v>
      </c>
    </row>
    <row r="992" spans="1:1">
      <c r="A992" s="6">
        <f t="shared" si="15"/>
        <v>46282</v>
      </c>
    </row>
    <row r="993" spans="1:1">
      <c r="A993" s="6">
        <f t="shared" si="15"/>
        <v>46283</v>
      </c>
    </row>
    <row r="994" spans="1:1">
      <c r="A994" s="6">
        <f t="shared" si="15"/>
        <v>46284</v>
      </c>
    </row>
    <row r="995" spans="1:1">
      <c r="A995" s="6">
        <f t="shared" si="15"/>
        <v>46285</v>
      </c>
    </row>
    <row r="996" spans="1:1">
      <c r="A996" s="6">
        <f t="shared" si="15"/>
        <v>46286</v>
      </c>
    </row>
    <row r="997" spans="1:1">
      <c r="A997" s="6">
        <f t="shared" si="15"/>
        <v>46287</v>
      </c>
    </row>
    <row r="998" spans="1:1">
      <c r="A998" s="6">
        <f t="shared" si="15"/>
        <v>46288</v>
      </c>
    </row>
    <row r="999" spans="1:1">
      <c r="A999" s="6">
        <f t="shared" si="15"/>
        <v>46289</v>
      </c>
    </row>
    <row r="1000" spans="1:1">
      <c r="A1000" s="6">
        <f t="shared" si="15"/>
        <v>46290</v>
      </c>
    </row>
    <row r="1001" spans="1:1">
      <c r="A1001" s="6">
        <f t="shared" si="15"/>
        <v>46291</v>
      </c>
    </row>
    <row r="1002" spans="1:1">
      <c r="A1002" s="6">
        <f t="shared" si="15"/>
        <v>46292</v>
      </c>
    </row>
    <row r="1003" spans="1:1">
      <c r="A1003" s="6">
        <f t="shared" si="15"/>
        <v>46293</v>
      </c>
    </row>
    <row r="1004" spans="1:1">
      <c r="A1004" s="6">
        <f t="shared" si="15"/>
        <v>46294</v>
      </c>
    </row>
    <row r="1005" spans="1:1">
      <c r="A1005" s="6">
        <f t="shared" si="15"/>
        <v>46295</v>
      </c>
    </row>
    <row r="1006" spans="1:1">
      <c r="A1006" s="6">
        <f t="shared" si="15"/>
        <v>46296</v>
      </c>
    </row>
    <row r="1007" spans="1:1">
      <c r="A1007" s="6">
        <f t="shared" si="15"/>
        <v>46297</v>
      </c>
    </row>
    <row r="1008" spans="1:1">
      <c r="A1008" s="6">
        <f t="shared" si="15"/>
        <v>46298</v>
      </c>
    </row>
    <row r="1009" spans="1:1">
      <c r="A1009" s="6">
        <f t="shared" si="15"/>
        <v>46299</v>
      </c>
    </row>
    <row r="1010" spans="1:1">
      <c r="A1010" s="6">
        <f t="shared" si="15"/>
        <v>46300</v>
      </c>
    </row>
    <row r="1011" spans="1:1">
      <c r="A1011" s="6">
        <f t="shared" si="15"/>
        <v>46301</v>
      </c>
    </row>
    <row r="1012" spans="1:1">
      <c r="A1012" s="6">
        <f t="shared" si="15"/>
        <v>46302</v>
      </c>
    </row>
    <row r="1013" spans="1:1">
      <c r="A1013" s="6">
        <f t="shared" si="15"/>
        <v>46303</v>
      </c>
    </row>
    <row r="1014" spans="1:1">
      <c r="A1014" s="6">
        <f t="shared" si="15"/>
        <v>46304</v>
      </c>
    </row>
    <row r="1015" spans="1:1">
      <c r="A1015" s="6">
        <f t="shared" si="15"/>
        <v>46305</v>
      </c>
    </row>
    <row r="1016" spans="1:1">
      <c r="A1016" s="6">
        <f t="shared" si="15"/>
        <v>46306</v>
      </c>
    </row>
    <row r="1017" spans="1:1">
      <c r="A1017" s="6">
        <f t="shared" si="15"/>
        <v>46307</v>
      </c>
    </row>
    <row r="1018" spans="1:1">
      <c r="A1018" s="6">
        <f t="shared" si="15"/>
        <v>46308</v>
      </c>
    </row>
    <row r="1019" spans="1:1">
      <c r="A1019" s="6">
        <f t="shared" si="15"/>
        <v>46309</v>
      </c>
    </row>
    <row r="1020" spans="1:1">
      <c r="A1020" s="6">
        <f t="shared" si="15"/>
        <v>46310</v>
      </c>
    </row>
    <row r="1021" spans="1:1">
      <c r="A1021" s="6">
        <f t="shared" si="15"/>
        <v>46311</v>
      </c>
    </row>
    <row r="1022" spans="1:1">
      <c r="A1022" s="6">
        <f t="shared" si="15"/>
        <v>46312</v>
      </c>
    </row>
    <row r="1023" spans="1:1">
      <c r="A1023" s="6">
        <f t="shared" si="15"/>
        <v>46313</v>
      </c>
    </row>
    <row r="1024" spans="1:1">
      <c r="A1024" s="6">
        <f t="shared" si="15"/>
        <v>46314</v>
      </c>
    </row>
    <row r="1025" spans="1:1">
      <c r="A1025" s="6">
        <f t="shared" si="15"/>
        <v>46315</v>
      </c>
    </row>
    <row r="1026" spans="1:1">
      <c r="A1026" s="6">
        <f t="shared" si="15"/>
        <v>46316</v>
      </c>
    </row>
    <row r="1027" spans="1:1">
      <c r="A1027" s="6">
        <f t="shared" si="15"/>
        <v>46317</v>
      </c>
    </row>
    <row r="1028" spans="1:1">
      <c r="A1028" s="6">
        <f t="shared" ref="A1028:A1078" si="16">A1027+1</f>
        <v>46318</v>
      </c>
    </row>
    <row r="1029" spans="1:1">
      <c r="A1029" s="6">
        <f t="shared" si="16"/>
        <v>46319</v>
      </c>
    </row>
    <row r="1030" spans="1:1">
      <c r="A1030" s="6">
        <f t="shared" si="16"/>
        <v>46320</v>
      </c>
    </row>
    <row r="1031" spans="1:1">
      <c r="A1031" s="6">
        <f t="shared" si="16"/>
        <v>46321</v>
      </c>
    </row>
    <row r="1032" spans="1:1">
      <c r="A1032" s="6">
        <f t="shared" si="16"/>
        <v>46322</v>
      </c>
    </row>
    <row r="1033" spans="1:1">
      <c r="A1033" s="6">
        <f t="shared" si="16"/>
        <v>46323</v>
      </c>
    </row>
    <row r="1034" spans="1:1">
      <c r="A1034" s="6">
        <f t="shared" si="16"/>
        <v>46324</v>
      </c>
    </row>
    <row r="1035" spans="1:1">
      <c r="A1035" s="6">
        <f t="shared" si="16"/>
        <v>46325</v>
      </c>
    </row>
    <row r="1036" spans="1:1">
      <c r="A1036" s="6">
        <f t="shared" si="16"/>
        <v>46326</v>
      </c>
    </row>
    <row r="1037" spans="1:1">
      <c r="A1037" s="6">
        <f t="shared" si="16"/>
        <v>46327</v>
      </c>
    </row>
    <row r="1038" spans="1:1">
      <c r="A1038" s="6">
        <f t="shared" si="16"/>
        <v>46328</v>
      </c>
    </row>
    <row r="1039" spans="1:1">
      <c r="A1039" s="6">
        <f t="shared" si="16"/>
        <v>46329</v>
      </c>
    </row>
    <row r="1040" spans="1:1">
      <c r="A1040" s="6">
        <f t="shared" si="16"/>
        <v>46330</v>
      </c>
    </row>
    <row r="1041" spans="1:1">
      <c r="A1041" s="6">
        <f t="shared" si="16"/>
        <v>46331</v>
      </c>
    </row>
    <row r="1042" spans="1:1">
      <c r="A1042" s="6">
        <f t="shared" si="16"/>
        <v>46332</v>
      </c>
    </row>
    <row r="1043" spans="1:1">
      <c r="A1043" s="6">
        <f t="shared" si="16"/>
        <v>46333</v>
      </c>
    </row>
    <row r="1044" spans="1:1">
      <c r="A1044" s="6">
        <f t="shared" si="16"/>
        <v>46334</v>
      </c>
    </row>
    <row r="1045" spans="1:1">
      <c r="A1045" s="6">
        <f t="shared" si="16"/>
        <v>46335</v>
      </c>
    </row>
    <row r="1046" spans="1:1">
      <c r="A1046" s="6">
        <f t="shared" si="16"/>
        <v>46336</v>
      </c>
    </row>
    <row r="1047" spans="1:1">
      <c r="A1047" s="6">
        <f t="shared" si="16"/>
        <v>46337</v>
      </c>
    </row>
    <row r="1048" spans="1:1">
      <c r="A1048" s="6">
        <f t="shared" si="16"/>
        <v>46338</v>
      </c>
    </row>
    <row r="1049" spans="1:1">
      <c r="A1049" s="6">
        <f t="shared" si="16"/>
        <v>46339</v>
      </c>
    </row>
    <row r="1050" spans="1:1">
      <c r="A1050" s="6">
        <f t="shared" si="16"/>
        <v>46340</v>
      </c>
    </row>
    <row r="1051" spans="1:1">
      <c r="A1051" s="6">
        <f t="shared" si="16"/>
        <v>46341</v>
      </c>
    </row>
    <row r="1052" spans="1:1">
      <c r="A1052" s="6">
        <f t="shared" si="16"/>
        <v>46342</v>
      </c>
    </row>
    <row r="1053" spans="1:1">
      <c r="A1053" s="6">
        <f t="shared" si="16"/>
        <v>46343</v>
      </c>
    </row>
    <row r="1054" spans="1:1">
      <c r="A1054" s="6">
        <f t="shared" si="16"/>
        <v>46344</v>
      </c>
    </row>
    <row r="1055" spans="1:1">
      <c r="A1055" s="6">
        <f t="shared" si="16"/>
        <v>46345</v>
      </c>
    </row>
    <row r="1056" spans="1:1">
      <c r="A1056" s="6">
        <f t="shared" si="16"/>
        <v>46346</v>
      </c>
    </row>
    <row r="1057" spans="1:1">
      <c r="A1057" s="6">
        <f t="shared" si="16"/>
        <v>46347</v>
      </c>
    </row>
    <row r="1058" spans="1:1">
      <c r="A1058" s="6">
        <f t="shared" si="16"/>
        <v>46348</v>
      </c>
    </row>
    <row r="1059" spans="1:1">
      <c r="A1059" s="6">
        <f t="shared" si="16"/>
        <v>46349</v>
      </c>
    </row>
    <row r="1060" spans="1:1">
      <c r="A1060" s="6">
        <f t="shared" si="16"/>
        <v>46350</v>
      </c>
    </row>
    <row r="1061" spans="1:1">
      <c r="A1061" s="6">
        <f t="shared" si="16"/>
        <v>46351</v>
      </c>
    </row>
    <row r="1062" spans="1:1">
      <c r="A1062" s="6">
        <f t="shared" si="16"/>
        <v>46352</v>
      </c>
    </row>
    <row r="1063" spans="1:1">
      <c r="A1063" s="6">
        <f t="shared" si="16"/>
        <v>46353</v>
      </c>
    </row>
    <row r="1064" spans="1:1">
      <c r="A1064" s="6">
        <f t="shared" si="16"/>
        <v>46354</v>
      </c>
    </row>
    <row r="1065" spans="1:1">
      <c r="A1065" s="6">
        <f t="shared" si="16"/>
        <v>46355</v>
      </c>
    </row>
    <row r="1066" spans="1:1">
      <c r="A1066" s="6">
        <f t="shared" si="16"/>
        <v>46356</v>
      </c>
    </row>
    <row r="1067" spans="1:1">
      <c r="A1067" s="6">
        <f t="shared" si="16"/>
        <v>46357</v>
      </c>
    </row>
    <row r="1068" spans="1:1">
      <c r="A1068" s="6">
        <f t="shared" si="16"/>
        <v>46358</v>
      </c>
    </row>
    <row r="1069" spans="1:1">
      <c r="A1069" s="6">
        <f t="shared" si="16"/>
        <v>46359</v>
      </c>
    </row>
    <row r="1070" spans="1:1">
      <c r="A1070" s="6">
        <f t="shared" si="16"/>
        <v>46360</v>
      </c>
    </row>
    <row r="1071" spans="1:1">
      <c r="A1071" s="6">
        <f t="shared" si="16"/>
        <v>46361</v>
      </c>
    </row>
    <row r="1072" spans="1:1">
      <c r="A1072" s="6">
        <f t="shared" si="16"/>
        <v>46362</v>
      </c>
    </row>
    <row r="1073" spans="1:1">
      <c r="A1073" s="6">
        <f t="shared" si="16"/>
        <v>46363</v>
      </c>
    </row>
    <row r="1074" spans="1:1">
      <c r="A1074" s="6">
        <f t="shared" si="16"/>
        <v>46364</v>
      </c>
    </row>
    <row r="1075" spans="1:1">
      <c r="A1075" s="6">
        <f t="shared" si="16"/>
        <v>46365</v>
      </c>
    </row>
    <row r="1076" spans="1:1">
      <c r="A1076" s="6">
        <f t="shared" si="16"/>
        <v>46366</v>
      </c>
    </row>
    <row r="1077" spans="1:1">
      <c r="A1077" s="6">
        <f t="shared" si="16"/>
        <v>46367</v>
      </c>
    </row>
    <row r="1078" spans="1:1">
      <c r="A1078" s="6">
        <f t="shared" si="16"/>
        <v>46368</v>
      </c>
    </row>
    <row r="1079" spans="1:1">
      <c r="A1079" s="6">
        <f t="shared" ref="A1079:A1142" si="17">A1078+1</f>
        <v>46369</v>
      </c>
    </row>
    <row r="1080" spans="1:1">
      <c r="A1080" s="6">
        <f t="shared" si="17"/>
        <v>46370</v>
      </c>
    </row>
    <row r="1081" spans="1:1">
      <c r="A1081" s="6">
        <f t="shared" si="17"/>
        <v>46371</v>
      </c>
    </row>
    <row r="1082" spans="1:1">
      <c r="A1082" s="6">
        <f t="shared" si="17"/>
        <v>46372</v>
      </c>
    </row>
    <row r="1083" spans="1:1">
      <c r="A1083" s="6">
        <f t="shared" si="17"/>
        <v>46373</v>
      </c>
    </row>
    <row r="1084" spans="1:1">
      <c r="A1084" s="6">
        <f t="shared" si="17"/>
        <v>46374</v>
      </c>
    </row>
    <row r="1085" spans="1:1">
      <c r="A1085" s="6">
        <f t="shared" si="17"/>
        <v>46375</v>
      </c>
    </row>
    <row r="1086" spans="1:1">
      <c r="A1086" s="6">
        <f t="shared" si="17"/>
        <v>46376</v>
      </c>
    </row>
    <row r="1087" spans="1:1">
      <c r="A1087" s="6">
        <f t="shared" si="17"/>
        <v>46377</v>
      </c>
    </row>
    <row r="1088" spans="1:1">
      <c r="A1088" s="6">
        <f t="shared" si="17"/>
        <v>46378</v>
      </c>
    </row>
    <row r="1089" spans="1:1">
      <c r="A1089" s="6">
        <f t="shared" si="17"/>
        <v>46379</v>
      </c>
    </row>
    <row r="1090" spans="1:1">
      <c r="A1090" s="6">
        <f t="shared" si="17"/>
        <v>46380</v>
      </c>
    </row>
    <row r="1091" spans="1:1">
      <c r="A1091" s="6">
        <f t="shared" si="17"/>
        <v>46381</v>
      </c>
    </row>
    <row r="1092" spans="1:1">
      <c r="A1092" s="6">
        <f t="shared" si="17"/>
        <v>46382</v>
      </c>
    </row>
    <row r="1093" spans="1:1">
      <c r="A1093" s="6">
        <f t="shared" si="17"/>
        <v>46383</v>
      </c>
    </row>
    <row r="1094" spans="1:1">
      <c r="A1094" s="6">
        <f t="shared" si="17"/>
        <v>46384</v>
      </c>
    </row>
    <row r="1095" spans="1:1">
      <c r="A1095" s="6">
        <f t="shared" si="17"/>
        <v>46385</v>
      </c>
    </row>
    <row r="1096" spans="1:1">
      <c r="A1096" s="6">
        <f t="shared" si="17"/>
        <v>46386</v>
      </c>
    </row>
    <row r="1097" spans="1:1">
      <c r="A1097" s="6">
        <f t="shared" si="17"/>
        <v>46387</v>
      </c>
    </row>
    <row r="1098" spans="1:1">
      <c r="A1098" s="6">
        <f t="shared" si="17"/>
        <v>46388</v>
      </c>
    </row>
    <row r="1099" spans="1:1">
      <c r="A1099" s="6">
        <f t="shared" si="17"/>
        <v>46389</v>
      </c>
    </row>
    <row r="1100" spans="1:1">
      <c r="A1100" s="6">
        <f t="shared" si="17"/>
        <v>46390</v>
      </c>
    </row>
    <row r="1101" spans="1:1">
      <c r="A1101" s="6">
        <f t="shared" si="17"/>
        <v>46391</v>
      </c>
    </row>
    <row r="1102" spans="1:1">
      <c r="A1102" s="6">
        <f t="shared" si="17"/>
        <v>46392</v>
      </c>
    </row>
    <row r="1103" spans="1:1">
      <c r="A1103" s="6">
        <f t="shared" si="17"/>
        <v>46393</v>
      </c>
    </row>
    <row r="1104" spans="1:1">
      <c r="A1104" s="6">
        <f t="shared" si="17"/>
        <v>46394</v>
      </c>
    </row>
    <row r="1105" spans="1:1">
      <c r="A1105" s="6">
        <f t="shared" si="17"/>
        <v>46395</v>
      </c>
    </row>
    <row r="1106" spans="1:1">
      <c r="A1106" s="6">
        <f t="shared" si="17"/>
        <v>46396</v>
      </c>
    </row>
    <row r="1107" spans="1:1">
      <c r="A1107" s="6">
        <f t="shared" si="17"/>
        <v>46397</v>
      </c>
    </row>
    <row r="1108" spans="1:1">
      <c r="A1108" s="6">
        <f t="shared" si="17"/>
        <v>46398</v>
      </c>
    </row>
    <row r="1109" spans="1:1">
      <c r="A1109" s="6">
        <f t="shared" si="17"/>
        <v>46399</v>
      </c>
    </row>
    <row r="1110" spans="1:1">
      <c r="A1110" s="6">
        <f t="shared" si="17"/>
        <v>46400</v>
      </c>
    </row>
    <row r="1111" spans="1:1">
      <c r="A1111" s="6">
        <f t="shared" si="17"/>
        <v>46401</v>
      </c>
    </row>
    <row r="1112" spans="1:1">
      <c r="A1112" s="6">
        <f t="shared" si="17"/>
        <v>46402</v>
      </c>
    </row>
    <row r="1113" spans="1:1">
      <c r="A1113" s="6">
        <f t="shared" si="17"/>
        <v>46403</v>
      </c>
    </row>
    <row r="1114" spans="1:1">
      <c r="A1114" s="6">
        <f t="shared" si="17"/>
        <v>46404</v>
      </c>
    </row>
    <row r="1115" spans="1:1">
      <c r="A1115" s="6">
        <f t="shared" si="17"/>
        <v>46405</v>
      </c>
    </row>
    <row r="1116" spans="1:1">
      <c r="A1116" s="6">
        <f t="shared" si="17"/>
        <v>46406</v>
      </c>
    </row>
    <row r="1117" spans="1:1">
      <c r="A1117" s="6">
        <f t="shared" si="17"/>
        <v>46407</v>
      </c>
    </row>
    <row r="1118" spans="1:1">
      <c r="A1118" s="6">
        <f t="shared" si="17"/>
        <v>46408</v>
      </c>
    </row>
    <row r="1119" spans="1:1">
      <c r="A1119" s="6">
        <f t="shared" si="17"/>
        <v>46409</v>
      </c>
    </row>
    <row r="1120" spans="1:1">
      <c r="A1120" s="6">
        <f t="shared" si="17"/>
        <v>46410</v>
      </c>
    </row>
    <row r="1121" spans="1:1">
      <c r="A1121" s="6">
        <f t="shared" si="17"/>
        <v>46411</v>
      </c>
    </row>
    <row r="1122" spans="1:1">
      <c r="A1122" s="6">
        <f t="shared" si="17"/>
        <v>46412</v>
      </c>
    </row>
    <row r="1123" spans="1:1">
      <c r="A1123" s="6">
        <f t="shared" si="17"/>
        <v>46413</v>
      </c>
    </row>
    <row r="1124" spans="1:1">
      <c r="A1124" s="6">
        <f t="shared" si="17"/>
        <v>46414</v>
      </c>
    </row>
    <row r="1125" spans="1:1">
      <c r="A1125" s="6">
        <f t="shared" si="17"/>
        <v>46415</v>
      </c>
    </row>
    <row r="1126" spans="1:1">
      <c r="A1126" s="6">
        <f t="shared" si="17"/>
        <v>46416</v>
      </c>
    </row>
    <row r="1127" spans="1:1">
      <c r="A1127" s="6">
        <f t="shared" si="17"/>
        <v>46417</v>
      </c>
    </row>
    <row r="1128" spans="1:1">
      <c r="A1128" s="6">
        <f t="shared" si="17"/>
        <v>46418</v>
      </c>
    </row>
    <row r="1129" spans="1:1">
      <c r="A1129" s="6">
        <f t="shared" si="17"/>
        <v>46419</v>
      </c>
    </row>
    <row r="1130" spans="1:1">
      <c r="A1130" s="6">
        <f t="shared" si="17"/>
        <v>46420</v>
      </c>
    </row>
    <row r="1131" spans="1:1">
      <c r="A1131" s="6">
        <f t="shared" si="17"/>
        <v>46421</v>
      </c>
    </row>
    <row r="1132" spans="1:1">
      <c r="A1132" s="6">
        <f t="shared" si="17"/>
        <v>46422</v>
      </c>
    </row>
    <row r="1133" spans="1:1">
      <c r="A1133" s="6">
        <f t="shared" si="17"/>
        <v>46423</v>
      </c>
    </row>
    <row r="1134" spans="1:1">
      <c r="A1134" s="6">
        <f t="shared" si="17"/>
        <v>46424</v>
      </c>
    </row>
    <row r="1135" spans="1:1">
      <c r="A1135" s="6">
        <f t="shared" si="17"/>
        <v>46425</v>
      </c>
    </row>
    <row r="1136" spans="1:1">
      <c r="A1136" s="6">
        <f t="shared" si="17"/>
        <v>46426</v>
      </c>
    </row>
    <row r="1137" spans="1:1">
      <c r="A1137" s="6">
        <f t="shared" si="17"/>
        <v>46427</v>
      </c>
    </row>
    <row r="1138" spans="1:1">
      <c r="A1138" s="6">
        <f t="shared" si="17"/>
        <v>46428</v>
      </c>
    </row>
    <row r="1139" spans="1:1">
      <c r="A1139" s="6">
        <f t="shared" si="17"/>
        <v>46429</v>
      </c>
    </row>
    <row r="1140" spans="1:1">
      <c r="A1140" s="6">
        <f t="shared" si="17"/>
        <v>46430</v>
      </c>
    </row>
    <row r="1141" spans="1:1">
      <c r="A1141" s="6">
        <f t="shared" si="17"/>
        <v>46431</v>
      </c>
    </row>
    <row r="1142" spans="1:1">
      <c r="A1142" s="6">
        <f t="shared" si="17"/>
        <v>46432</v>
      </c>
    </row>
    <row r="1143" spans="1:1">
      <c r="A1143" s="6">
        <f t="shared" ref="A1143:A1206" si="18">A1142+1</f>
        <v>46433</v>
      </c>
    </row>
    <row r="1144" spans="1:1">
      <c r="A1144" s="6">
        <f t="shared" si="18"/>
        <v>46434</v>
      </c>
    </row>
    <row r="1145" spans="1:1">
      <c r="A1145" s="6">
        <f t="shared" si="18"/>
        <v>46435</v>
      </c>
    </row>
    <row r="1146" spans="1:1">
      <c r="A1146" s="6">
        <f t="shared" si="18"/>
        <v>46436</v>
      </c>
    </row>
    <row r="1147" spans="1:1">
      <c r="A1147" s="6">
        <f t="shared" si="18"/>
        <v>46437</v>
      </c>
    </row>
    <row r="1148" spans="1:1">
      <c r="A1148" s="6">
        <f t="shared" si="18"/>
        <v>46438</v>
      </c>
    </row>
    <row r="1149" spans="1:1">
      <c r="A1149" s="6">
        <f t="shared" si="18"/>
        <v>46439</v>
      </c>
    </row>
    <row r="1150" spans="1:1">
      <c r="A1150" s="6">
        <f t="shared" si="18"/>
        <v>46440</v>
      </c>
    </row>
    <row r="1151" spans="1:1">
      <c r="A1151" s="6">
        <f t="shared" si="18"/>
        <v>46441</v>
      </c>
    </row>
    <row r="1152" spans="1:1">
      <c r="A1152" s="6">
        <f t="shared" si="18"/>
        <v>46442</v>
      </c>
    </row>
    <row r="1153" spans="1:1">
      <c r="A1153" s="6">
        <f t="shared" si="18"/>
        <v>46443</v>
      </c>
    </row>
    <row r="1154" spans="1:1">
      <c r="A1154" s="6">
        <f t="shared" si="18"/>
        <v>46444</v>
      </c>
    </row>
    <row r="1155" spans="1:1">
      <c r="A1155" s="6">
        <f t="shared" si="18"/>
        <v>46445</v>
      </c>
    </row>
    <row r="1156" spans="1:1">
      <c r="A1156" s="6">
        <f t="shared" si="18"/>
        <v>46446</v>
      </c>
    </row>
    <row r="1157" spans="1:1">
      <c r="A1157" s="6">
        <f t="shared" si="18"/>
        <v>46447</v>
      </c>
    </row>
    <row r="1158" spans="1:1">
      <c r="A1158" s="6">
        <f t="shared" si="18"/>
        <v>46448</v>
      </c>
    </row>
    <row r="1159" spans="1:1">
      <c r="A1159" s="6">
        <f t="shared" si="18"/>
        <v>46449</v>
      </c>
    </row>
    <row r="1160" spans="1:1">
      <c r="A1160" s="6">
        <f t="shared" si="18"/>
        <v>46450</v>
      </c>
    </row>
    <row r="1161" spans="1:1">
      <c r="A1161" s="6">
        <f t="shared" si="18"/>
        <v>46451</v>
      </c>
    </row>
    <row r="1162" spans="1:1">
      <c r="A1162" s="6">
        <f t="shared" si="18"/>
        <v>46452</v>
      </c>
    </row>
    <row r="1163" spans="1:1">
      <c r="A1163" s="6">
        <f t="shared" si="18"/>
        <v>46453</v>
      </c>
    </row>
    <row r="1164" spans="1:1">
      <c r="A1164" s="6">
        <f t="shared" si="18"/>
        <v>46454</v>
      </c>
    </row>
    <row r="1165" spans="1:1">
      <c r="A1165" s="6">
        <f t="shared" si="18"/>
        <v>46455</v>
      </c>
    </row>
    <row r="1166" spans="1:1">
      <c r="A1166" s="6">
        <f t="shared" si="18"/>
        <v>46456</v>
      </c>
    </row>
    <row r="1167" spans="1:1">
      <c r="A1167" s="6">
        <f t="shared" si="18"/>
        <v>46457</v>
      </c>
    </row>
    <row r="1168" spans="1:1">
      <c r="A1168" s="6">
        <f t="shared" si="18"/>
        <v>46458</v>
      </c>
    </row>
    <row r="1169" spans="1:1">
      <c r="A1169" s="6">
        <f t="shared" si="18"/>
        <v>46459</v>
      </c>
    </row>
    <row r="1170" spans="1:1">
      <c r="A1170" s="6">
        <f t="shared" si="18"/>
        <v>46460</v>
      </c>
    </row>
    <row r="1171" spans="1:1">
      <c r="A1171" s="6">
        <f t="shared" si="18"/>
        <v>46461</v>
      </c>
    </row>
    <row r="1172" spans="1:1">
      <c r="A1172" s="6">
        <f t="shared" si="18"/>
        <v>46462</v>
      </c>
    </row>
    <row r="1173" spans="1:1">
      <c r="A1173" s="6">
        <f t="shared" si="18"/>
        <v>46463</v>
      </c>
    </row>
    <row r="1174" spans="1:1">
      <c r="A1174" s="6">
        <f t="shared" si="18"/>
        <v>46464</v>
      </c>
    </row>
    <row r="1175" spans="1:1">
      <c r="A1175" s="6">
        <f t="shared" si="18"/>
        <v>46465</v>
      </c>
    </row>
    <row r="1176" spans="1:1">
      <c r="A1176" s="6">
        <f t="shared" si="18"/>
        <v>46466</v>
      </c>
    </row>
    <row r="1177" spans="1:1">
      <c r="A1177" s="6">
        <f t="shared" si="18"/>
        <v>46467</v>
      </c>
    </row>
    <row r="1178" spans="1:1">
      <c r="A1178" s="6">
        <f t="shared" si="18"/>
        <v>46468</v>
      </c>
    </row>
    <row r="1179" spans="1:1">
      <c r="A1179" s="6">
        <f t="shared" si="18"/>
        <v>46469</v>
      </c>
    </row>
    <row r="1180" spans="1:1">
      <c r="A1180" s="6">
        <f t="shared" si="18"/>
        <v>46470</v>
      </c>
    </row>
    <row r="1181" spans="1:1">
      <c r="A1181" s="6">
        <f t="shared" si="18"/>
        <v>46471</v>
      </c>
    </row>
    <row r="1182" spans="1:1">
      <c r="A1182" s="6">
        <f t="shared" si="18"/>
        <v>46472</v>
      </c>
    </row>
    <row r="1183" spans="1:1">
      <c r="A1183" s="6">
        <f t="shared" si="18"/>
        <v>46473</v>
      </c>
    </row>
    <row r="1184" spans="1:1">
      <c r="A1184" s="6">
        <f t="shared" si="18"/>
        <v>46474</v>
      </c>
    </row>
    <row r="1185" spans="1:1">
      <c r="A1185" s="6">
        <f t="shared" si="18"/>
        <v>46475</v>
      </c>
    </row>
    <row r="1186" spans="1:1">
      <c r="A1186" s="6">
        <f t="shared" si="18"/>
        <v>46476</v>
      </c>
    </row>
    <row r="1187" spans="1:1">
      <c r="A1187" s="6">
        <f t="shared" si="18"/>
        <v>46477</v>
      </c>
    </row>
    <row r="1188" spans="1:1">
      <c r="A1188" s="6">
        <f t="shared" si="18"/>
        <v>46478</v>
      </c>
    </row>
    <row r="1189" spans="1:1">
      <c r="A1189" s="6">
        <f t="shared" si="18"/>
        <v>46479</v>
      </c>
    </row>
    <row r="1190" spans="1:1">
      <c r="A1190" s="6">
        <f t="shared" si="18"/>
        <v>46480</v>
      </c>
    </row>
    <row r="1191" spans="1:1">
      <c r="A1191" s="6">
        <f t="shared" si="18"/>
        <v>46481</v>
      </c>
    </row>
    <row r="1192" spans="1:1">
      <c r="A1192" s="6">
        <f t="shared" si="18"/>
        <v>46482</v>
      </c>
    </row>
    <row r="1193" spans="1:1">
      <c r="A1193" s="6">
        <f t="shared" si="18"/>
        <v>46483</v>
      </c>
    </row>
    <row r="1194" spans="1:1">
      <c r="A1194" s="6">
        <f t="shared" si="18"/>
        <v>46484</v>
      </c>
    </row>
    <row r="1195" spans="1:1">
      <c r="A1195" s="6">
        <f t="shared" si="18"/>
        <v>46485</v>
      </c>
    </row>
    <row r="1196" spans="1:1">
      <c r="A1196" s="6">
        <f t="shared" si="18"/>
        <v>46486</v>
      </c>
    </row>
    <row r="1197" spans="1:1">
      <c r="A1197" s="6">
        <f t="shared" si="18"/>
        <v>46487</v>
      </c>
    </row>
    <row r="1198" spans="1:1">
      <c r="A1198" s="6">
        <f t="shared" si="18"/>
        <v>46488</v>
      </c>
    </row>
    <row r="1199" spans="1:1">
      <c r="A1199" s="6">
        <f t="shared" si="18"/>
        <v>46489</v>
      </c>
    </row>
    <row r="1200" spans="1:1">
      <c r="A1200" s="6">
        <f t="shared" si="18"/>
        <v>46490</v>
      </c>
    </row>
    <row r="1201" spans="1:1">
      <c r="A1201" s="6">
        <f t="shared" si="18"/>
        <v>46491</v>
      </c>
    </row>
    <row r="1202" spans="1:1">
      <c r="A1202" s="6">
        <f t="shared" si="18"/>
        <v>46492</v>
      </c>
    </row>
    <row r="1203" spans="1:1">
      <c r="A1203" s="6">
        <f t="shared" si="18"/>
        <v>46493</v>
      </c>
    </row>
    <row r="1204" spans="1:1">
      <c r="A1204" s="6">
        <f t="shared" si="18"/>
        <v>46494</v>
      </c>
    </row>
    <row r="1205" spans="1:1">
      <c r="A1205" s="6">
        <f t="shared" si="18"/>
        <v>46495</v>
      </c>
    </row>
    <row r="1206" spans="1:1">
      <c r="A1206" s="6">
        <f t="shared" si="18"/>
        <v>46496</v>
      </c>
    </row>
    <row r="1207" spans="1:1">
      <c r="A1207" s="6">
        <f t="shared" ref="A1207:A1270" si="19">A1206+1</f>
        <v>46497</v>
      </c>
    </row>
    <row r="1208" spans="1:1">
      <c r="A1208" s="6">
        <f t="shared" si="19"/>
        <v>46498</v>
      </c>
    </row>
    <row r="1209" spans="1:1">
      <c r="A1209" s="6">
        <f t="shared" si="19"/>
        <v>46499</v>
      </c>
    </row>
    <row r="1210" spans="1:1">
      <c r="A1210" s="6">
        <f t="shared" si="19"/>
        <v>46500</v>
      </c>
    </row>
    <row r="1211" spans="1:1">
      <c r="A1211" s="6">
        <f t="shared" si="19"/>
        <v>46501</v>
      </c>
    </row>
    <row r="1212" spans="1:1">
      <c r="A1212" s="6">
        <f t="shared" si="19"/>
        <v>46502</v>
      </c>
    </row>
    <row r="1213" spans="1:1">
      <c r="A1213" s="6">
        <f t="shared" si="19"/>
        <v>46503</v>
      </c>
    </row>
    <row r="1214" spans="1:1">
      <c r="A1214" s="6">
        <f t="shared" si="19"/>
        <v>46504</v>
      </c>
    </row>
    <row r="1215" spans="1:1">
      <c r="A1215" s="6">
        <f t="shared" si="19"/>
        <v>46505</v>
      </c>
    </row>
    <row r="1216" spans="1:1">
      <c r="A1216" s="6">
        <f t="shared" si="19"/>
        <v>46506</v>
      </c>
    </row>
    <row r="1217" spans="1:1">
      <c r="A1217" s="6">
        <f t="shared" si="19"/>
        <v>46507</v>
      </c>
    </row>
    <row r="1218" spans="1:1">
      <c r="A1218" s="6">
        <f t="shared" si="19"/>
        <v>46508</v>
      </c>
    </row>
    <row r="1219" spans="1:1">
      <c r="A1219" s="6">
        <f t="shared" si="19"/>
        <v>46509</v>
      </c>
    </row>
    <row r="1220" spans="1:1">
      <c r="A1220" s="6">
        <f t="shared" si="19"/>
        <v>46510</v>
      </c>
    </row>
    <row r="1221" spans="1:1">
      <c r="A1221" s="6">
        <f t="shared" si="19"/>
        <v>46511</v>
      </c>
    </row>
    <row r="1222" spans="1:1">
      <c r="A1222" s="6">
        <f t="shared" si="19"/>
        <v>46512</v>
      </c>
    </row>
    <row r="1223" spans="1:1">
      <c r="A1223" s="6">
        <f t="shared" si="19"/>
        <v>46513</v>
      </c>
    </row>
    <row r="1224" spans="1:1">
      <c r="A1224" s="6">
        <f t="shared" si="19"/>
        <v>46514</v>
      </c>
    </row>
    <row r="1225" spans="1:1">
      <c r="A1225" s="6">
        <f t="shared" si="19"/>
        <v>46515</v>
      </c>
    </row>
    <row r="1226" spans="1:1">
      <c r="A1226" s="6">
        <f t="shared" si="19"/>
        <v>46516</v>
      </c>
    </row>
    <row r="1227" spans="1:1">
      <c r="A1227" s="6">
        <f t="shared" si="19"/>
        <v>46517</v>
      </c>
    </row>
    <row r="1228" spans="1:1">
      <c r="A1228" s="6">
        <f t="shared" si="19"/>
        <v>46518</v>
      </c>
    </row>
    <row r="1229" spans="1:1">
      <c r="A1229" s="6">
        <f t="shared" si="19"/>
        <v>46519</v>
      </c>
    </row>
    <row r="1230" spans="1:1">
      <c r="A1230" s="6">
        <f t="shared" si="19"/>
        <v>46520</v>
      </c>
    </row>
    <row r="1231" spans="1:1">
      <c r="A1231" s="6">
        <f t="shared" si="19"/>
        <v>46521</v>
      </c>
    </row>
    <row r="1232" spans="1:1">
      <c r="A1232" s="6">
        <f t="shared" si="19"/>
        <v>46522</v>
      </c>
    </row>
    <row r="1233" spans="1:1">
      <c r="A1233" s="6">
        <f t="shared" si="19"/>
        <v>46523</v>
      </c>
    </row>
    <row r="1234" spans="1:1">
      <c r="A1234" s="6">
        <f t="shared" si="19"/>
        <v>46524</v>
      </c>
    </row>
    <row r="1235" spans="1:1">
      <c r="A1235" s="6">
        <f t="shared" si="19"/>
        <v>46525</v>
      </c>
    </row>
    <row r="1236" spans="1:1">
      <c r="A1236" s="6">
        <f t="shared" si="19"/>
        <v>46526</v>
      </c>
    </row>
    <row r="1237" spans="1:1">
      <c r="A1237" s="6">
        <f t="shared" si="19"/>
        <v>46527</v>
      </c>
    </row>
    <row r="1238" spans="1:1">
      <c r="A1238" s="6">
        <f t="shared" si="19"/>
        <v>46528</v>
      </c>
    </row>
    <row r="1239" spans="1:1">
      <c r="A1239" s="6">
        <f t="shared" si="19"/>
        <v>46529</v>
      </c>
    </row>
    <row r="1240" spans="1:1">
      <c r="A1240" s="6">
        <f t="shared" si="19"/>
        <v>46530</v>
      </c>
    </row>
    <row r="1241" spans="1:1">
      <c r="A1241" s="6">
        <f t="shared" si="19"/>
        <v>46531</v>
      </c>
    </row>
    <row r="1242" spans="1:1">
      <c r="A1242" s="6">
        <f t="shared" si="19"/>
        <v>46532</v>
      </c>
    </row>
    <row r="1243" spans="1:1">
      <c r="A1243" s="6">
        <f t="shared" si="19"/>
        <v>46533</v>
      </c>
    </row>
    <row r="1244" spans="1:1">
      <c r="A1244" s="6">
        <f t="shared" si="19"/>
        <v>46534</v>
      </c>
    </row>
    <row r="1245" spans="1:1">
      <c r="A1245" s="6">
        <f t="shared" si="19"/>
        <v>46535</v>
      </c>
    </row>
    <row r="1246" spans="1:1">
      <c r="A1246" s="6">
        <f t="shared" si="19"/>
        <v>46536</v>
      </c>
    </row>
    <row r="1247" spans="1:1">
      <c r="A1247" s="6">
        <f t="shared" si="19"/>
        <v>46537</v>
      </c>
    </row>
    <row r="1248" spans="1:1">
      <c r="A1248" s="6">
        <f t="shared" si="19"/>
        <v>46538</v>
      </c>
    </row>
    <row r="1249" spans="1:1">
      <c r="A1249" s="6">
        <f t="shared" si="19"/>
        <v>46539</v>
      </c>
    </row>
    <row r="1250" spans="1:1">
      <c r="A1250" s="6">
        <f t="shared" si="19"/>
        <v>46540</v>
      </c>
    </row>
    <row r="1251" spans="1:1">
      <c r="A1251" s="6">
        <f t="shared" si="19"/>
        <v>46541</v>
      </c>
    </row>
    <row r="1252" spans="1:1">
      <c r="A1252" s="6">
        <f t="shared" si="19"/>
        <v>46542</v>
      </c>
    </row>
    <row r="1253" spans="1:1">
      <c r="A1253" s="6">
        <f t="shared" si="19"/>
        <v>46543</v>
      </c>
    </row>
    <row r="1254" spans="1:1">
      <c r="A1254" s="6">
        <f t="shared" si="19"/>
        <v>46544</v>
      </c>
    </row>
    <row r="1255" spans="1:1">
      <c r="A1255" s="6">
        <f t="shared" si="19"/>
        <v>46545</v>
      </c>
    </row>
    <row r="1256" spans="1:1">
      <c r="A1256" s="6">
        <f t="shared" si="19"/>
        <v>46546</v>
      </c>
    </row>
    <row r="1257" spans="1:1">
      <c r="A1257" s="6">
        <f t="shared" si="19"/>
        <v>46547</v>
      </c>
    </row>
    <row r="1258" spans="1:1">
      <c r="A1258" s="6">
        <f t="shared" si="19"/>
        <v>46548</v>
      </c>
    </row>
    <row r="1259" spans="1:1">
      <c r="A1259" s="6">
        <f t="shared" si="19"/>
        <v>46549</v>
      </c>
    </row>
    <row r="1260" spans="1:1">
      <c r="A1260" s="6">
        <f t="shared" si="19"/>
        <v>46550</v>
      </c>
    </row>
    <row r="1261" spans="1:1">
      <c r="A1261" s="6">
        <f t="shared" si="19"/>
        <v>46551</v>
      </c>
    </row>
    <row r="1262" spans="1:1">
      <c r="A1262" s="6">
        <f t="shared" si="19"/>
        <v>46552</v>
      </c>
    </row>
    <row r="1263" spans="1:1">
      <c r="A1263" s="6">
        <f t="shared" si="19"/>
        <v>46553</v>
      </c>
    </row>
    <row r="1264" spans="1:1">
      <c r="A1264" s="6">
        <f t="shared" si="19"/>
        <v>46554</v>
      </c>
    </row>
    <row r="1265" spans="1:1">
      <c r="A1265" s="6">
        <f t="shared" si="19"/>
        <v>46555</v>
      </c>
    </row>
    <row r="1266" spans="1:1">
      <c r="A1266" s="6">
        <f t="shared" si="19"/>
        <v>46556</v>
      </c>
    </row>
    <row r="1267" spans="1:1">
      <c r="A1267" s="6">
        <f t="shared" si="19"/>
        <v>46557</v>
      </c>
    </row>
    <row r="1268" spans="1:1">
      <c r="A1268" s="6">
        <f t="shared" si="19"/>
        <v>46558</v>
      </c>
    </row>
    <row r="1269" spans="1:1">
      <c r="A1269" s="6">
        <f t="shared" si="19"/>
        <v>46559</v>
      </c>
    </row>
    <row r="1270" spans="1:1">
      <c r="A1270" s="6">
        <f t="shared" si="19"/>
        <v>46560</v>
      </c>
    </row>
    <row r="1271" spans="1:1">
      <c r="A1271" s="6">
        <f t="shared" ref="A1271:A1334" si="20">A1270+1</f>
        <v>46561</v>
      </c>
    </row>
    <row r="1272" spans="1:1">
      <c r="A1272" s="6">
        <f t="shared" si="20"/>
        <v>46562</v>
      </c>
    </row>
    <row r="1273" spans="1:1">
      <c r="A1273" s="6">
        <f t="shared" si="20"/>
        <v>46563</v>
      </c>
    </row>
    <row r="1274" spans="1:1">
      <c r="A1274" s="6">
        <f t="shared" si="20"/>
        <v>46564</v>
      </c>
    </row>
    <row r="1275" spans="1:1">
      <c r="A1275" s="6">
        <f t="shared" si="20"/>
        <v>46565</v>
      </c>
    </row>
    <row r="1276" spans="1:1">
      <c r="A1276" s="6">
        <f t="shared" si="20"/>
        <v>46566</v>
      </c>
    </row>
    <row r="1277" spans="1:1">
      <c r="A1277" s="6">
        <f t="shared" si="20"/>
        <v>46567</v>
      </c>
    </row>
    <row r="1278" spans="1:1">
      <c r="A1278" s="6">
        <f t="shared" si="20"/>
        <v>46568</v>
      </c>
    </row>
    <row r="1279" spans="1:1">
      <c r="A1279" s="6">
        <f t="shared" si="20"/>
        <v>46569</v>
      </c>
    </row>
    <row r="1280" spans="1:1">
      <c r="A1280" s="6">
        <f t="shared" si="20"/>
        <v>46570</v>
      </c>
    </row>
    <row r="1281" spans="1:1">
      <c r="A1281" s="6">
        <f t="shared" si="20"/>
        <v>46571</v>
      </c>
    </row>
    <row r="1282" spans="1:1">
      <c r="A1282" s="6">
        <f t="shared" si="20"/>
        <v>46572</v>
      </c>
    </row>
    <row r="1283" spans="1:1">
      <c r="A1283" s="6">
        <f t="shared" si="20"/>
        <v>46573</v>
      </c>
    </row>
    <row r="1284" spans="1:1">
      <c r="A1284" s="6">
        <f t="shared" si="20"/>
        <v>46574</v>
      </c>
    </row>
    <row r="1285" spans="1:1">
      <c r="A1285" s="6">
        <f t="shared" si="20"/>
        <v>46575</v>
      </c>
    </row>
    <row r="1286" spans="1:1">
      <c r="A1286" s="6">
        <f t="shared" si="20"/>
        <v>46576</v>
      </c>
    </row>
    <row r="1287" spans="1:1">
      <c r="A1287" s="6">
        <f t="shared" si="20"/>
        <v>46577</v>
      </c>
    </row>
    <row r="1288" spans="1:1">
      <c r="A1288" s="6">
        <f t="shared" si="20"/>
        <v>46578</v>
      </c>
    </row>
    <row r="1289" spans="1:1">
      <c r="A1289" s="6">
        <f t="shared" si="20"/>
        <v>46579</v>
      </c>
    </row>
    <row r="1290" spans="1:1">
      <c r="A1290" s="6">
        <f t="shared" si="20"/>
        <v>46580</v>
      </c>
    </row>
    <row r="1291" spans="1:1">
      <c r="A1291" s="6">
        <f t="shared" si="20"/>
        <v>46581</v>
      </c>
    </row>
    <row r="1292" spans="1:1">
      <c r="A1292" s="6">
        <f t="shared" si="20"/>
        <v>46582</v>
      </c>
    </row>
    <row r="1293" spans="1:1">
      <c r="A1293" s="6">
        <f t="shared" si="20"/>
        <v>46583</v>
      </c>
    </row>
    <row r="1294" spans="1:1">
      <c r="A1294" s="6">
        <f t="shared" si="20"/>
        <v>46584</v>
      </c>
    </row>
    <row r="1295" spans="1:1">
      <c r="A1295" s="6">
        <f t="shared" si="20"/>
        <v>46585</v>
      </c>
    </row>
    <row r="1296" spans="1:1">
      <c r="A1296" s="6">
        <f t="shared" si="20"/>
        <v>46586</v>
      </c>
    </row>
    <row r="1297" spans="1:1">
      <c r="A1297" s="6">
        <f t="shared" si="20"/>
        <v>46587</v>
      </c>
    </row>
    <row r="1298" spans="1:1">
      <c r="A1298" s="6">
        <f t="shared" si="20"/>
        <v>46588</v>
      </c>
    </row>
    <row r="1299" spans="1:1">
      <c r="A1299" s="6">
        <f t="shared" si="20"/>
        <v>46589</v>
      </c>
    </row>
    <row r="1300" spans="1:1">
      <c r="A1300" s="6">
        <f t="shared" si="20"/>
        <v>46590</v>
      </c>
    </row>
    <row r="1301" spans="1:1">
      <c r="A1301" s="6">
        <f t="shared" si="20"/>
        <v>46591</v>
      </c>
    </row>
    <row r="1302" spans="1:1">
      <c r="A1302" s="6">
        <f t="shared" si="20"/>
        <v>46592</v>
      </c>
    </row>
    <row r="1303" spans="1:1">
      <c r="A1303" s="6">
        <f t="shared" si="20"/>
        <v>46593</v>
      </c>
    </row>
    <row r="1304" spans="1:1">
      <c r="A1304" s="6">
        <f t="shared" si="20"/>
        <v>46594</v>
      </c>
    </row>
    <row r="1305" spans="1:1">
      <c r="A1305" s="6">
        <f t="shared" si="20"/>
        <v>46595</v>
      </c>
    </row>
    <row r="1306" spans="1:1">
      <c r="A1306" s="6">
        <f t="shared" si="20"/>
        <v>46596</v>
      </c>
    </row>
    <row r="1307" spans="1:1">
      <c r="A1307" s="6">
        <f t="shared" si="20"/>
        <v>46597</v>
      </c>
    </row>
    <row r="1308" spans="1:1">
      <c r="A1308" s="6">
        <f t="shared" si="20"/>
        <v>46598</v>
      </c>
    </row>
    <row r="1309" spans="1:1">
      <c r="A1309" s="6">
        <f t="shared" si="20"/>
        <v>46599</v>
      </c>
    </row>
    <row r="1310" spans="1:1">
      <c r="A1310" s="6">
        <f t="shared" si="20"/>
        <v>46600</v>
      </c>
    </row>
    <row r="1311" spans="1:1">
      <c r="A1311" s="6">
        <f t="shared" si="20"/>
        <v>46601</v>
      </c>
    </row>
    <row r="1312" spans="1:1">
      <c r="A1312" s="6">
        <f t="shared" si="20"/>
        <v>46602</v>
      </c>
    </row>
    <row r="1313" spans="1:1">
      <c r="A1313" s="6">
        <f t="shared" si="20"/>
        <v>46603</v>
      </c>
    </row>
    <row r="1314" spans="1:1">
      <c r="A1314" s="6">
        <f t="shared" si="20"/>
        <v>46604</v>
      </c>
    </row>
    <row r="1315" spans="1:1">
      <c r="A1315" s="6">
        <f t="shared" si="20"/>
        <v>46605</v>
      </c>
    </row>
    <row r="1316" spans="1:1">
      <c r="A1316" s="6">
        <f t="shared" si="20"/>
        <v>46606</v>
      </c>
    </row>
    <row r="1317" spans="1:1">
      <c r="A1317" s="6">
        <f t="shared" si="20"/>
        <v>46607</v>
      </c>
    </row>
    <row r="1318" spans="1:1">
      <c r="A1318" s="6">
        <f t="shared" si="20"/>
        <v>46608</v>
      </c>
    </row>
    <row r="1319" spans="1:1">
      <c r="A1319" s="6">
        <f t="shared" si="20"/>
        <v>46609</v>
      </c>
    </row>
    <row r="1320" spans="1:1">
      <c r="A1320" s="6">
        <f t="shared" si="20"/>
        <v>46610</v>
      </c>
    </row>
    <row r="1321" spans="1:1">
      <c r="A1321" s="6">
        <f t="shared" si="20"/>
        <v>46611</v>
      </c>
    </row>
    <row r="1322" spans="1:1">
      <c r="A1322" s="6">
        <f t="shared" si="20"/>
        <v>46612</v>
      </c>
    </row>
    <row r="1323" spans="1:1">
      <c r="A1323" s="6">
        <f t="shared" si="20"/>
        <v>46613</v>
      </c>
    </row>
    <row r="1324" spans="1:1">
      <c r="A1324" s="6">
        <f t="shared" si="20"/>
        <v>46614</v>
      </c>
    </row>
    <row r="1325" spans="1:1">
      <c r="A1325" s="6">
        <f t="shared" si="20"/>
        <v>46615</v>
      </c>
    </row>
    <row r="1326" spans="1:1">
      <c r="A1326" s="6">
        <f t="shared" si="20"/>
        <v>46616</v>
      </c>
    </row>
    <row r="1327" spans="1:1">
      <c r="A1327" s="6">
        <f t="shared" si="20"/>
        <v>46617</v>
      </c>
    </row>
    <row r="1328" spans="1:1">
      <c r="A1328" s="6">
        <f t="shared" si="20"/>
        <v>46618</v>
      </c>
    </row>
    <row r="1329" spans="1:1">
      <c r="A1329" s="6">
        <f t="shared" si="20"/>
        <v>46619</v>
      </c>
    </row>
    <row r="1330" spans="1:1">
      <c r="A1330" s="6">
        <f t="shared" si="20"/>
        <v>46620</v>
      </c>
    </row>
    <row r="1331" spans="1:1">
      <c r="A1331" s="6">
        <f t="shared" si="20"/>
        <v>46621</v>
      </c>
    </row>
    <row r="1332" spans="1:1">
      <c r="A1332" s="6">
        <f t="shared" si="20"/>
        <v>46622</v>
      </c>
    </row>
    <row r="1333" spans="1:1">
      <c r="A1333" s="6">
        <f t="shared" si="20"/>
        <v>46623</v>
      </c>
    </row>
    <row r="1334" spans="1:1">
      <c r="A1334" s="6">
        <f t="shared" si="20"/>
        <v>46624</v>
      </c>
    </row>
    <row r="1335" spans="1:1">
      <c r="A1335" s="6">
        <f t="shared" ref="A1335:A1398" si="21">A1334+1</f>
        <v>46625</v>
      </c>
    </row>
    <row r="1336" spans="1:1">
      <c r="A1336" s="6">
        <f t="shared" si="21"/>
        <v>46626</v>
      </c>
    </row>
    <row r="1337" spans="1:1">
      <c r="A1337" s="6">
        <f t="shared" si="21"/>
        <v>46627</v>
      </c>
    </row>
    <row r="1338" spans="1:1">
      <c r="A1338" s="6">
        <f t="shared" si="21"/>
        <v>46628</v>
      </c>
    </row>
    <row r="1339" spans="1:1">
      <c r="A1339" s="6">
        <f t="shared" si="21"/>
        <v>46629</v>
      </c>
    </row>
    <row r="1340" spans="1:1">
      <c r="A1340" s="6">
        <f t="shared" si="21"/>
        <v>46630</v>
      </c>
    </row>
    <row r="1341" spans="1:1">
      <c r="A1341" s="6">
        <f t="shared" si="21"/>
        <v>46631</v>
      </c>
    </row>
    <row r="1342" spans="1:1">
      <c r="A1342" s="6">
        <f t="shared" si="21"/>
        <v>46632</v>
      </c>
    </row>
    <row r="1343" spans="1:1">
      <c r="A1343" s="6">
        <f t="shared" si="21"/>
        <v>46633</v>
      </c>
    </row>
    <row r="1344" spans="1:1">
      <c r="A1344" s="6">
        <f t="shared" si="21"/>
        <v>46634</v>
      </c>
    </row>
    <row r="1345" spans="1:1">
      <c r="A1345" s="6">
        <f t="shared" si="21"/>
        <v>46635</v>
      </c>
    </row>
    <row r="1346" spans="1:1">
      <c r="A1346" s="6">
        <f t="shared" si="21"/>
        <v>46636</v>
      </c>
    </row>
    <row r="1347" spans="1:1">
      <c r="A1347" s="6">
        <f t="shared" si="21"/>
        <v>46637</v>
      </c>
    </row>
    <row r="1348" spans="1:1">
      <c r="A1348" s="6">
        <f t="shared" si="21"/>
        <v>46638</v>
      </c>
    </row>
    <row r="1349" spans="1:1">
      <c r="A1349" s="6">
        <f t="shared" si="21"/>
        <v>46639</v>
      </c>
    </row>
    <row r="1350" spans="1:1">
      <c r="A1350" s="6">
        <f t="shared" si="21"/>
        <v>46640</v>
      </c>
    </row>
    <row r="1351" spans="1:1">
      <c r="A1351" s="6">
        <f t="shared" si="21"/>
        <v>46641</v>
      </c>
    </row>
    <row r="1352" spans="1:1">
      <c r="A1352" s="6">
        <f t="shared" si="21"/>
        <v>46642</v>
      </c>
    </row>
    <row r="1353" spans="1:1">
      <c r="A1353" s="6">
        <f t="shared" si="21"/>
        <v>46643</v>
      </c>
    </row>
    <row r="1354" spans="1:1">
      <c r="A1354" s="6">
        <f t="shared" si="21"/>
        <v>46644</v>
      </c>
    </row>
    <row r="1355" spans="1:1">
      <c r="A1355" s="6">
        <f t="shared" si="21"/>
        <v>46645</v>
      </c>
    </row>
    <row r="1356" spans="1:1">
      <c r="A1356" s="6">
        <f t="shared" si="21"/>
        <v>46646</v>
      </c>
    </row>
    <row r="1357" spans="1:1">
      <c r="A1357" s="6">
        <f t="shared" si="21"/>
        <v>46647</v>
      </c>
    </row>
    <row r="1358" spans="1:1">
      <c r="A1358" s="6">
        <f t="shared" si="21"/>
        <v>46648</v>
      </c>
    </row>
    <row r="1359" spans="1:1">
      <c r="A1359" s="6">
        <f t="shared" si="21"/>
        <v>46649</v>
      </c>
    </row>
    <row r="1360" spans="1:1">
      <c r="A1360" s="6">
        <f t="shared" si="21"/>
        <v>46650</v>
      </c>
    </row>
    <row r="1361" spans="1:1">
      <c r="A1361" s="6">
        <f t="shared" si="21"/>
        <v>46651</v>
      </c>
    </row>
    <row r="1362" spans="1:1">
      <c r="A1362" s="6">
        <f t="shared" si="21"/>
        <v>46652</v>
      </c>
    </row>
    <row r="1363" spans="1:1">
      <c r="A1363" s="6">
        <f t="shared" si="21"/>
        <v>46653</v>
      </c>
    </row>
    <row r="1364" spans="1:1">
      <c r="A1364" s="6">
        <f t="shared" si="21"/>
        <v>46654</v>
      </c>
    </row>
    <row r="1365" spans="1:1">
      <c r="A1365" s="6">
        <f t="shared" si="21"/>
        <v>46655</v>
      </c>
    </row>
    <row r="1366" spans="1:1">
      <c r="A1366" s="6">
        <f t="shared" si="21"/>
        <v>46656</v>
      </c>
    </row>
    <row r="1367" spans="1:1">
      <c r="A1367" s="6">
        <f t="shared" si="21"/>
        <v>46657</v>
      </c>
    </row>
    <row r="1368" spans="1:1">
      <c r="A1368" s="6">
        <f t="shared" si="21"/>
        <v>46658</v>
      </c>
    </row>
    <row r="1369" spans="1:1">
      <c r="A1369" s="6">
        <f t="shared" si="21"/>
        <v>46659</v>
      </c>
    </row>
    <row r="1370" spans="1:1">
      <c r="A1370" s="6">
        <f t="shared" si="21"/>
        <v>46660</v>
      </c>
    </row>
    <row r="1371" spans="1:1">
      <c r="A1371" s="6">
        <f t="shared" si="21"/>
        <v>46661</v>
      </c>
    </row>
    <row r="1372" spans="1:1">
      <c r="A1372" s="6">
        <f t="shared" si="21"/>
        <v>46662</v>
      </c>
    </row>
    <row r="1373" spans="1:1">
      <c r="A1373" s="6">
        <f t="shared" si="21"/>
        <v>46663</v>
      </c>
    </row>
    <row r="1374" spans="1:1">
      <c r="A1374" s="6">
        <f t="shared" si="21"/>
        <v>46664</v>
      </c>
    </row>
    <row r="1375" spans="1:1">
      <c r="A1375" s="6">
        <f t="shared" si="21"/>
        <v>46665</v>
      </c>
    </row>
    <row r="1376" spans="1:1">
      <c r="A1376" s="6">
        <f t="shared" si="21"/>
        <v>46666</v>
      </c>
    </row>
    <row r="1377" spans="1:1">
      <c r="A1377" s="6">
        <f t="shared" si="21"/>
        <v>46667</v>
      </c>
    </row>
    <row r="1378" spans="1:1">
      <c r="A1378" s="6">
        <f t="shared" si="21"/>
        <v>46668</v>
      </c>
    </row>
    <row r="1379" spans="1:1">
      <c r="A1379" s="6">
        <f t="shared" si="21"/>
        <v>46669</v>
      </c>
    </row>
    <row r="1380" spans="1:1">
      <c r="A1380" s="6">
        <f t="shared" si="21"/>
        <v>46670</v>
      </c>
    </row>
    <row r="1381" spans="1:1">
      <c r="A1381" s="6">
        <f t="shared" si="21"/>
        <v>46671</v>
      </c>
    </row>
    <row r="1382" spans="1:1">
      <c r="A1382" s="6">
        <f t="shared" si="21"/>
        <v>46672</v>
      </c>
    </row>
    <row r="1383" spans="1:1">
      <c r="A1383" s="6">
        <f t="shared" si="21"/>
        <v>46673</v>
      </c>
    </row>
    <row r="1384" spans="1:1">
      <c r="A1384" s="6">
        <f t="shared" si="21"/>
        <v>46674</v>
      </c>
    </row>
    <row r="1385" spans="1:1">
      <c r="A1385" s="6">
        <f t="shared" si="21"/>
        <v>46675</v>
      </c>
    </row>
    <row r="1386" spans="1:1">
      <c r="A1386" s="6">
        <f t="shared" si="21"/>
        <v>46676</v>
      </c>
    </row>
    <row r="1387" spans="1:1">
      <c r="A1387" s="6">
        <f t="shared" si="21"/>
        <v>46677</v>
      </c>
    </row>
    <row r="1388" spans="1:1">
      <c r="A1388" s="6">
        <f t="shared" si="21"/>
        <v>46678</v>
      </c>
    </row>
    <row r="1389" spans="1:1">
      <c r="A1389" s="6">
        <f t="shared" si="21"/>
        <v>46679</v>
      </c>
    </row>
    <row r="1390" spans="1:1">
      <c r="A1390" s="6">
        <f t="shared" si="21"/>
        <v>46680</v>
      </c>
    </row>
    <row r="1391" spans="1:1">
      <c r="A1391" s="6">
        <f t="shared" si="21"/>
        <v>46681</v>
      </c>
    </row>
    <row r="1392" spans="1:1">
      <c r="A1392" s="6">
        <f t="shared" si="21"/>
        <v>46682</v>
      </c>
    </row>
    <row r="1393" spans="1:1">
      <c r="A1393" s="6">
        <f t="shared" si="21"/>
        <v>46683</v>
      </c>
    </row>
    <row r="1394" spans="1:1">
      <c r="A1394" s="6">
        <f t="shared" si="21"/>
        <v>46684</v>
      </c>
    </row>
    <row r="1395" spans="1:1">
      <c r="A1395" s="6">
        <f t="shared" si="21"/>
        <v>46685</v>
      </c>
    </row>
    <row r="1396" spans="1:1">
      <c r="A1396" s="6">
        <f t="shared" si="21"/>
        <v>46686</v>
      </c>
    </row>
    <row r="1397" spans="1:1">
      <c r="A1397" s="6">
        <f t="shared" si="21"/>
        <v>46687</v>
      </c>
    </row>
    <row r="1398" spans="1:1">
      <c r="A1398" s="6">
        <f t="shared" si="21"/>
        <v>46688</v>
      </c>
    </row>
    <row r="1399" spans="1:1">
      <c r="A1399" s="6">
        <f t="shared" ref="A1399:A1462" si="22">A1398+1</f>
        <v>46689</v>
      </c>
    </row>
    <row r="1400" spans="1:1">
      <c r="A1400" s="6">
        <f t="shared" si="22"/>
        <v>46690</v>
      </c>
    </row>
    <row r="1401" spans="1:1">
      <c r="A1401" s="6">
        <f t="shared" si="22"/>
        <v>46691</v>
      </c>
    </row>
    <row r="1402" spans="1:1">
      <c r="A1402" s="6">
        <f t="shared" si="22"/>
        <v>46692</v>
      </c>
    </row>
    <row r="1403" spans="1:1">
      <c r="A1403" s="6">
        <f t="shared" si="22"/>
        <v>46693</v>
      </c>
    </row>
    <row r="1404" spans="1:1">
      <c r="A1404" s="6">
        <f t="shared" si="22"/>
        <v>46694</v>
      </c>
    </row>
    <row r="1405" spans="1:1">
      <c r="A1405" s="6">
        <f t="shared" si="22"/>
        <v>46695</v>
      </c>
    </row>
    <row r="1406" spans="1:1">
      <c r="A1406" s="6">
        <f t="shared" si="22"/>
        <v>46696</v>
      </c>
    </row>
    <row r="1407" spans="1:1">
      <c r="A1407" s="6">
        <f t="shared" si="22"/>
        <v>46697</v>
      </c>
    </row>
    <row r="1408" spans="1:1">
      <c r="A1408" s="6">
        <f t="shared" si="22"/>
        <v>46698</v>
      </c>
    </row>
    <row r="1409" spans="1:1">
      <c r="A1409" s="6">
        <f t="shared" si="22"/>
        <v>46699</v>
      </c>
    </row>
    <row r="1410" spans="1:1">
      <c r="A1410" s="6">
        <f t="shared" si="22"/>
        <v>46700</v>
      </c>
    </row>
    <row r="1411" spans="1:1">
      <c r="A1411" s="6">
        <f t="shared" si="22"/>
        <v>46701</v>
      </c>
    </row>
    <row r="1412" spans="1:1">
      <c r="A1412" s="6">
        <f t="shared" si="22"/>
        <v>46702</v>
      </c>
    </row>
    <row r="1413" spans="1:1">
      <c r="A1413" s="6">
        <f t="shared" si="22"/>
        <v>46703</v>
      </c>
    </row>
    <row r="1414" spans="1:1">
      <c r="A1414" s="6">
        <f t="shared" si="22"/>
        <v>46704</v>
      </c>
    </row>
    <row r="1415" spans="1:1">
      <c r="A1415" s="6">
        <f t="shared" si="22"/>
        <v>46705</v>
      </c>
    </row>
    <row r="1416" spans="1:1">
      <c r="A1416" s="6">
        <f t="shared" si="22"/>
        <v>46706</v>
      </c>
    </row>
    <row r="1417" spans="1:1">
      <c r="A1417" s="6">
        <f t="shared" si="22"/>
        <v>46707</v>
      </c>
    </row>
    <row r="1418" spans="1:1">
      <c r="A1418" s="6">
        <f t="shared" si="22"/>
        <v>46708</v>
      </c>
    </row>
    <row r="1419" spans="1:1">
      <c r="A1419" s="6">
        <f t="shared" si="22"/>
        <v>46709</v>
      </c>
    </row>
    <row r="1420" spans="1:1">
      <c r="A1420" s="6">
        <f t="shared" si="22"/>
        <v>46710</v>
      </c>
    </row>
    <row r="1421" spans="1:1">
      <c r="A1421" s="6">
        <f t="shared" si="22"/>
        <v>46711</v>
      </c>
    </row>
    <row r="1422" spans="1:1">
      <c r="A1422" s="6">
        <f t="shared" si="22"/>
        <v>46712</v>
      </c>
    </row>
    <row r="1423" spans="1:1">
      <c r="A1423" s="6">
        <f t="shared" si="22"/>
        <v>46713</v>
      </c>
    </row>
    <row r="1424" spans="1:1">
      <c r="A1424" s="6">
        <f t="shared" si="22"/>
        <v>46714</v>
      </c>
    </row>
    <row r="1425" spans="1:1">
      <c r="A1425" s="6">
        <f t="shared" si="22"/>
        <v>46715</v>
      </c>
    </row>
    <row r="1426" spans="1:1">
      <c r="A1426" s="6">
        <f t="shared" si="22"/>
        <v>46716</v>
      </c>
    </row>
    <row r="1427" spans="1:1">
      <c r="A1427" s="6">
        <f t="shared" si="22"/>
        <v>46717</v>
      </c>
    </row>
    <row r="1428" spans="1:1">
      <c r="A1428" s="6">
        <f t="shared" si="22"/>
        <v>46718</v>
      </c>
    </row>
    <row r="1429" spans="1:1">
      <c r="A1429" s="6">
        <f t="shared" si="22"/>
        <v>46719</v>
      </c>
    </row>
    <row r="1430" spans="1:1">
      <c r="A1430" s="6">
        <f t="shared" si="22"/>
        <v>46720</v>
      </c>
    </row>
    <row r="1431" spans="1:1">
      <c r="A1431" s="6">
        <f t="shared" si="22"/>
        <v>46721</v>
      </c>
    </row>
    <row r="1432" spans="1:1">
      <c r="A1432" s="6">
        <f t="shared" si="22"/>
        <v>46722</v>
      </c>
    </row>
    <row r="1433" spans="1:1">
      <c r="A1433" s="6">
        <f t="shared" si="22"/>
        <v>46723</v>
      </c>
    </row>
    <row r="1434" spans="1:1">
      <c r="A1434" s="6">
        <f t="shared" si="22"/>
        <v>46724</v>
      </c>
    </row>
    <row r="1435" spans="1:1">
      <c r="A1435" s="6">
        <f t="shared" si="22"/>
        <v>46725</v>
      </c>
    </row>
    <row r="1436" spans="1:1">
      <c r="A1436" s="6">
        <f t="shared" si="22"/>
        <v>46726</v>
      </c>
    </row>
    <row r="1437" spans="1:1">
      <c r="A1437" s="6">
        <f t="shared" si="22"/>
        <v>46727</v>
      </c>
    </row>
    <row r="1438" spans="1:1">
      <c r="A1438" s="6">
        <f t="shared" si="22"/>
        <v>46728</v>
      </c>
    </row>
    <row r="1439" spans="1:1">
      <c r="A1439" s="6">
        <f t="shared" si="22"/>
        <v>46729</v>
      </c>
    </row>
    <row r="1440" spans="1:1">
      <c r="A1440" s="6">
        <f t="shared" si="22"/>
        <v>46730</v>
      </c>
    </row>
    <row r="1441" spans="1:1">
      <c r="A1441" s="6">
        <f t="shared" si="22"/>
        <v>46731</v>
      </c>
    </row>
    <row r="1442" spans="1:1">
      <c r="A1442" s="6">
        <f t="shared" si="22"/>
        <v>46732</v>
      </c>
    </row>
    <row r="1443" spans="1:1">
      <c r="A1443" s="6">
        <f t="shared" si="22"/>
        <v>46733</v>
      </c>
    </row>
    <row r="1444" spans="1:1">
      <c r="A1444" s="6">
        <f t="shared" si="22"/>
        <v>46734</v>
      </c>
    </row>
    <row r="1445" spans="1:1">
      <c r="A1445" s="6">
        <f t="shared" si="22"/>
        <v>46735</v>
      </c>
    </row>
    <row r="1446" spans="1:1">
      <c r="A1446" s="6">
        <f t="shared" si="22"/>
        <v>46736</v>
      </c>
    </row>
    <row r="1447" spans="1:1">
      <c r="A1447" s="6">
        <f t="shared" si="22"/>
        <v>46737</v>
      </c>
    </row>
    <row r="1448" spans="1:1">
      <c r="A1448" s="6">
        <f t="shared" si="22"/>
        <v>46738</v>
      </c>
    </row>
    <row r="1449" spans="1:1">
      <c r="A1449" s="6">
        <f t="shared" si="22"/>
        <v>46739</v>
      </c>
    </row>
    <row r="1450" spans="1:1">
      <c r="A1450" s="6">
        <f t="shared" si="22"/>
        <v>46740</v>
      </c>
    </row>
    <row r="1451" spans="1:1">
      <c r="A1451" s="6">
        <f t="shared" si="22"/>
        <v>46741</v>
      </c>
    </row>
    <row r="1452" spans="1:1">
      <c r="A1452" s="6">
        <f t="shared" si="22"/>
        <v>46742</v>
      </c>
    </row>
    <row r="1453" spans="1:1">
      <c r="A1453" s="6">
        <f t="shared" si="22"/>
        <v>46743</v>
      </c>
    </row>
    <row r="1454" spans="1:1">
      <c r="A1454" s="6">
        <f t="shared" si="22"/>
        <v>46744</v>
      </c>
    </row>
    <row r="1455" spans="1:1">
      <c r="A1455" s="6">
        <f t="shared" si="22"/>
        <v>46745</v>
      </c>
    </row>
    <row r="1456" spans="1:1">
      <c r="A1456" s="6">
        <f t="shared" si="22"/>
        <v>46746</v>
      </c>
    </row>
    <row r="1457" spans="1:1">
      <c r="A1457" s="6">
        <f t="shared" si="22"/>
        <v>46747</v>
      </c>
    </row>
    <row r="1458" spans="1:1">
      <c r="A1458" s="6">
        <f t="shared" si="22"/>
        <v>46748</v>
      </c>
    </row>
    <row r="1459" spans="1:1">
      <c r="A1459" s="6">
        <f t="shared" si="22"/>
        <v>46749</v>
      </c>
    </row>
    <row r="1460" spans="1:1">
      <c r="A1460" s="6">
        <f t="shared" si="22"/>
        <v>46750</v>
      </c>
    </row>
    <row r="1461" spans="1:1">
      <c r="A1461" s="6">
        <f t="shared" si="22"/>
        <v>46751</v>
      </c>
    </row>
    <row r="1462" spans="1:1">
      <c r="A1462" s="6">
        <f t="shared" si="22"/>
        <v>46752</v>
      </c>
    </row>
    <row r="1463" spans="1:1">
      <c r="A1463" s="6">
        <f t="shared" ref="A1463:A1526" si="23">A1462+1</f>
        <v>46753</v>
      </c>
    </row>
    <row r="1464" spans="1:1">
      <c r="A1464" s="6">
        <f t="shared" si="23"/>
        <v>46754</v>
      </c>
    </row>
    <row r="1465" spans="1:1">
      <c r="A1465" s="6">
        <f t="shared" si="23"/>
        <v>46755</v>
      </c>
    </row>
    <row r="1466" spans="1:1">
      <c r="A1466" s="6">
        <f t="shared" si="23"/>
        <v>46756</v>
      </c>
    </row>
    <row r="1467" spans="1:1">
      <c r="A1467" s="6">
        <f t="shared" si="23"/>
        <v>46757</v>
      </c>
    </row>
    <row r="1468" spans="1:1">
      <c r="A1468" s="6">
        <f t="shared" si="23"/>
        <v>46758</v>
      </c>
    </row>
    <row r="1469" spans="1:1">
      <c r="A1469" s="6">
        <f t="shared" si="23"/>
        <v>46759</v>
      </c>
    </row>
    <row r="1470" spans="1:1">
      <c r="A1470" s="6">
        <f t="shared" si="23"/>
        <v>46760</v>
      </c>
    </row>
    <row r="1471" spans="1:1">
      <c r="A1471" s="6">
        <f t="shared" si="23"/>
        <v>46761</v>
      </c>
    </row>
    <row r="1472" spans="1:1">
      <c r="A1472" s="6">
        <f t="shared" si="23"/>
        <v>46762</v>
      </c>
    </row>
    <row r="1473" spans="1:1">
      <c r="A1473" s="6">
        <f t="shared" si="23"/>
        <v>46763</v>
      </c>
    </row>
    <row r="1474" spans="1:1">
      <c r="A1474" s="6">
        <f t="shared" si="23"/>
        <v>46764</v>
      </c>
    </row>
    <row r="1475" spans="1:1">
      <c r="A1475" s="6">
        <f t="shared" si="23"/>
        <v>46765</v>
      </c>
    </row>
    <row r="1476" spans="1:1">
      <c r="A1476" s="6">
        <f t="shared" si="23"/>
        <v>46766</v>
      </c>
    </row>
    <row r="1477" spans="1:1">
      <c r="A1477" s="6">
        <f t="shared" si="23"/>
        <v>46767</v>
      </c>
    </row>
    <row r="1478" spans="1:1">
      <c r="A1478" s="6">
        <f t="shared" si="23"/>
        <v>46768</v>
      </c>
    </row>
    <row r="1479" spans="1:1">
      <c r="A1479" s="6">
        <f t="shared" si="23"/>
        <v>46769</v>
      </c>
    </row>
    <row r="1480" spans="1:1">
      <c r="A1480" s="6">
        <f t="shared" si="23"/>
        <v>46770</v>
      </c>
    </row>
    <row r="1481" spans="1:1">
      <c r="A1481" s="6">
        <f t="shared" si="23"/>
        <v>46771</v>
      </c>
    </row>
    <row r="1482" spans="1:1">
      <c r="A1482" s="6">
        <f t="shared" si="23"/>
        <v>46772</v>
      </c>
    </row>
    <row r="1483" spans="1:1">
      <c r="A1483" s="6">
        <f t="shared" si="23"/>
        <v>46773</v>
      </c>
    </row>
    <row r="1484" spans="1:1">
      <c r="A1484" s="6">
        <f t="shared" si="23"/>
        <v>46774</v>
      </c>
    </row>
    <row r="1485" spans="1:1">
      <c r="A1485" s="6">
        <f t="shared" si="23"/>
        <v>46775</v>
      </c>
    </row>
    <row r="1486" spans="1:1">
      <c r="A1486" s="6">
        <f t="shared" si="23"/>
        <v>46776</v>
      </c>
    </row>
    <row r="1487" spans="1:1">
      <c r="A1487" s="6">
        <f t="shared" si="23"/>
        <v>46777</v>
      </c>
    </row>
    <row r="1488" spans="1:1">
      <c r="A1488" s="6">
        <f t="shared" si="23"/>
        <v>46778</v>
      </c>
    </row>
    <row r="1489" spans="1:1">
      <c r="A1489" s="6">
        <f t="shared" si="23"/>
        <v>46779</v>
      </c>
    </row>
    <row r="1490" spans="1:1">
      <c r="A1490" s="6">
        <f t="shared" si="23"/>
        <v>46780</v>
      </c>
    </row>
    <row r="1491" spans="1:1">
      <c r="A1491" s="6">
        <f t="shared" si="23"/>
        <v>46781</v>
      </c>
    </row>
    <row r="1492" spans="1:1">
      <c r="A1492" s="6">
        <f t="shared" si="23"/>
        <v>46782</v>
      </c>
    </row>
    <row r="1493" spans="1:1">
      <c r="A1493" s="6">
        <f t="shared" si="23"/>
        <v>46783</v>
      </c>
    </row>
    <row r="1494" spans="1:1">
      <c r="A1494" s="6">
        <f t="shared" si="23"/>
        <v>46784</v>
      </c>
    </row>
    <row r="1495" spans="1:1">
      <c r="A1495" s="6">
        <f t="shared" si="23"/>
        <v>46785</v>
      </c>
    </row>
    <row r="1496" spans="1:1">
      <c r="A1496" s="6">
        <f t="shared" si="23"/>
        <v>46786</v>
      </c>
    </row>
    <row r="1497" spans="1:1">
      <c r="A1497" s="6">
        <f t="shared" si="23"/>
        <v>46787</v>
      </c>
    </row>
    <row r="1498" spans="1:1">
      <c r="A1498" s="6">
        <f t="shared" si="23"/>
        <v>46788</v>
      </c>
    </row>
    <row r="1499" spans="1:1">
      <c r="A1499" s="6">
        <f t="shared" si="23"/>
        <v>46789</v>
      </c>
    </row>
    <row r="1500" spans="1:1">
      <c r="A1500" s="6">
        <f t="shared" si="23"/>
        <v>46790</v>
      </c>
    </row>
    <row r="1501" spans="1:1">
      <c r="A1501" s="6">
        <f t="shared" si="23"/>
        <v>46791</v>
      </c>
    </row>
    <row r="1502" spans="1:1">
      <c r="A1502" s="6">
        <f t="shared" si="23"/>
        <v>46792</v>
      </c>
    </row>
    <row r="1503" spans="1:1">
      <c r="A1503" s="6">
        <f t="shared" si="23"/>
        <v>46793</v>
      </c>
    </row>
    <row r="1504" spans="1:1">
      <c r="A1504" s="6">
        <f t="shared" si="23"/>
        <v>46794</v>
      </c>
    </row>
    <row r="1505" spans="1:1">
      <c r="A1505" s="6">
        <f t="shared" si="23"/>
        <v>46795</v>
      </c>
    </row>
    <row r="1506" spans="1:1">
      <c r="A1506" s="6">
        <f t="shared" si="23"/>
        <v>46796</v>
      </c>
    </row>
    <row r="1507" spans="1:1">
      <c r="A1507" s="6">
        <f t="shared" si="23"/>
        <v>46797</v>
      </c>
    </row>
    <row r="1508" spans="1:1">
      <c r="A1508" s="6">
        <f t="shared" si="23"/>
        <v>46798</v>
      </c>
    </row>
    <row r="1509" spans="1:1">
      <c r="A1509" s="6">
        <f t="shared" si="23"/>
        <v>46799</v>
      </c>
    </row>
    <row r="1510" spans="1:1">
      <c r="A1510" s="6">
        <f t="shared" si="23"/>
        <v>46800</v>
      </c>
    </row>
    <row r="1511" spans="1:1">
      <c r="A1511" s="6">
        <f t="shared" si="23"/>
        <v>46801</v>
      </c>
    </row>
    <row r="1512" spans="1:1">
      <c r="A1512" s="6">
        <f t="shared" si="23"/>
        <v>46802</v>
      </c>
    </row>
    <row r="1513" spans="1:1">
      <c r="A1513" s="6">
        <f t="shared" si="23"/>
        <v>46803</v>
      </c>
    </row>
    <row r="1514" spans="1:1">
      <c r="A1514" s="6">
        <f t="shared" si="23"/>
        <v>46804</v>
      </c>
    </row>
    <row r="1515" spans="1:1">
      <c r="A1515" s="6">
        <f t="shared" si="23"/>
        <v>46805</v>
      </c>
    </row>
    <row r="1516" spans="1:1">
      <c r="A1516" s="6">
        <f t="shared" si="23"/>
        <v>46806</v>
      </c>
    </row>
    <row r="1517" spans="1:1">
      <c r="A1517" s="6">
        <f t="shared" si="23"/>
        <v>46807</v>
      </c>
    </row>
    <row r="1518" spans="1:1">
      <c r="A1518" s="6">
        <f t="shared" si="23"/>
        <v>46808</v>
      </c>
    </row>
    <row r="1519" spans="1:1">
      <c r="A1519" s="6">
        <f t="shared" si="23"/>
        <v>46809</v>
      </c>
    </row>
    <row r="1520" spans="1:1">
      <c r="A1520" s="6">
        <f t="shared" si="23"/>
        <v>46810</v>
      </c>
    </row>
    <row r="1521" spans="1:1">
      <c r="A1521" s="6">
        <f t="shared" si="23"/>
        <v>46811</v>
      </c>
    </row>
    <row r="1522" spans="1:1">
      <c r="A1522" s="6">
        <f t="shared" si="23"/>
        <v>46812</v>
      </c>
    </row>
    <row r="1523" spans="1:1">
      <c r="A1523" s="6">
        <f t="shared" si="23"/>
        <v>46813</v>
      </c>
    </row>
    <row r="1524" spans="1:1">
      <c r="A1524" s="6">
        <f t="shared" si="23"/>
        <v>46814</v>
      </c>
    </row>
    <row r="1525" spans="1:1">
      <c r="A1525" s="6">
        <f t="shared" si="23"/>
        <v>46815</v>
      </c>
    </row>
    <row r="1526" spans="1:1">
      <c r="A1526" s="6">
        <f t="shared" si="23"/>
        <v>46816</v>
      </c>
    </row>
    <row r="1527" spans="1:1">
      <c r="A1527" s="6">
        <f t="shared" ref="A1527:A1590" si="24">A1526+1</f>
        <v>46817</v>
      </c>
    </row>
    <row r="1528" spans="1:1">
      <c r="A1528" s="6">
        <f t="shared" si="24"/>
        <v>46818</v>
      </c>
    </row>
    <row r="1529" spans="1:1">
      <c r="A1529" s="6">
        <f t="shared" si="24"/>
        <v>46819</v>
      </c>
    </row>
    <row r="1530" spans="1:1">
      <c r="A1530" s="6">
        <f t="shared" si="24"/>
        <v>46820</v>
      </c>
    </row>
    <row r="1531" spans="1:1">
      <c r="A1531" s="6">
        <f t="shared" si="24"/>
        <v>46821</v>
      </c>
    </row>
    <row r="1532" spans="1:1">
      <c r="A1532" s="6">
        <f t="shared" si="24"/>
        <v>46822</v>
      </c>
    </row>
    <row r="1533" spans="1:1">
      <c r="A1533" s="6">
        <f t="shared" si="24"/>
        <v>46823</v>
      </c>
    </row>
    <row r="1534" spans="1:1">
      <c r="A1534" s="6">
        <f t="shared" si="24"/>
        <v>46824</v>
      </c>
    </row>
    <row r="1535" spans="1:1">
      <c r="A1535" s="6">
        <f t="shared" si="24"/>
        <v>46825</v>
      </c>
    </row>
    <row r="1536" spans="1:1">
      <c r="A1536" s="6">
        <f t="shared" si="24"/>
        <v>46826</v>
      </c>
    </row>
    <row r="1537" spans="1:1">
      <c r="A1537" s="6">
        <f t="shared" si="24"/>
        <v>46827</v>
      </c>
    </row>
    <row r="1538" spans="1:1">
      <c r="A1538" s="6">
        <f t="shared" si="24"/>
        <v>46828</v>
      </c>
    </row>
    <row r="1539" spans="1:1">
      <c r="A1539" s="6">
        <f t="shared" si="24"/>
        <v>46829</v>
      </c>
    </row>
    <row r="1540" spans="1:1">
      <c r="A1540" s="6">
        <f t="shared" si="24"/>
        <v>46830</v>
      </c>
    </row>
    <row r="1541" spans="1:1">
      <c r="A1541" s="6">
        <f t="shared" si="24"/>
        <v>46831</v>
      </c>
    </row>
    <row r="1542" spans="1:1">
      <c r="A1542" s="6">
        <f t="shared" si="24"/>
        <v>46832</v>
      </c>
    </row>
    <row r="1543" spans="1:1">
      <c r="A1543" s="6">
        <f t="shared" si="24"/>
        <v>46833</v>
      </c>
    </row>
    <row r="1544" spans="1:1">
      <c r="A1544" s="6">
        <f t="shared" si="24"/>
        <v>46834</v>
      </c>
    </row>
    <row r="1545" spans="1:1">
      <c r="A1545" s="6">
        <f t="shared" si="24"/>
        <v>46835</v>
      </c>
    </row>
    <row r="1546" spans="1:1">
      <c r="A1546" s="6">
        <f t="shared" si="24"/>
        <v>46836</v>
      </c>
    </row>
    <row r="1547" spans="1:1">
      <c r="A1547" s="6">
        <f t="shared" si="24"/>
        <v>46837</v>
      </c>
    </row>
    <row r="1548" spans="1:1">
      <c r="A1548" s="6">
        <f t="shared" si="24"/>
        <v>46838</v>
      </c>
    </row>
    <row r="1549" spans="1:1">
      <c r="A1549" s="6">
        <f t="shared" si="24"/>
        <v>46839</v>
      </c>
    </row>
    <row r="1550" spans="1:1">
      <c r="A1550" s="6">
        <f t="shared" si="24"/>
        <v>46840</v>
      </c>
    </row>
    <row r="1551" spans="1:1">
      <c r="A1551" s="6">
        <f t="shared" si="24"/>
        <v>46841</v>
      </c>
    </row>
    <row r="1552" spans="1:1">
      <c r="A1552" s="6">
        <f t="shared" si="24"/>
        <v>46842</v>
      </c>
    </row>
    <row r="1553" spans="1:1">
      <c r="A1553" s="6">
        <f t="shared" si="24"/>
        <v>46843</v>
      </c>
    </row>
    <row r="1554" spans="1:1">
      <c r="A1554" s="6">
        <f t="shared" si="24"/>
        <v>46844</v>
      </c>
    </row>
    <row r="1555" spans="1:1">
      <c r="A1555" s="6">
        <f t="shared" si="24"/>
        <v>46845</v>
      </c>
    </row>
    <row r="1556" spans="1:1">
      <c r="A1556" s="6">
        <f t="shared" si="24"/>
        <v>46846</v>
      </c>
    </row>
    <row r="1557" spans="1:1">
      <c r="A1557" s="6">
        <f t="shared" si="24"/>
        <v>46847</v>
      </c>
    </row>
    <row r="1558" spans="1:1">
      <c r="A1558" s="6">
        <f t="shared" si="24"/>
        <v>46848</v>
      </c>
    </row>
    <row r="1559" spans="1:1">
      <c r="A1559" s="6">
        <f t="shared" si="24"/>
        <v>46849</v>
      </c>
    </row>
    <row r="1560" spans="1:1">
      <c r="A1560" s="6">
        <f t="shared" si="24"/>
        <v>46850</v>
      </c>
    </row>
    <row r="1561" spans="1:1">
      <c r="A1561" s="6">
        <f t="shared" si="24"/>
        <v>46851</v>
      </c>
    </row>
    <row r="1562" spans="1:1">
      <c r="A1562" s="6">
        <f t="shared" si="24"/>
        <v>46852</v>
      </c>
    </row>
    <row r="1563" spans="1:1">
      <c r="A1563" s="6">
        <f t="shared" si="24"/>
        <v>46853</v>
      </c>
    </row>
    <row r="1564" spans="1:1">
      <c r="A1564" s="6">
        <f t="shared" si="24"/>
        <v>46854</v>
      </c>
    </row>
    <row r="1565" spans="1:1">
      <c r="A1565" s="6">
        <f t="shared" si="24"/>
        <v>46855</v>
      </c>
    </row>
    <row r="1566" spans="1:1">
      <c r="A1566" s="6">
        <f t="shared" si="24"/>
        <v>46856</v>
      </c>
    </row>
    <row r="1567" spans="1:1">
      <c r="A1567" s="6">
        <f t="shared" si="24"/>
        <v>46857</v>
      </c>
    </row>
    <row r="1568" spans="1:1">
      <c r="A1568" s="6">
        <f t="shared" si="24"/>
        <v>46858</v>
      </c>
    </row>
    <row r="1569" spans="1:1">
      <c r="A1569" s="6">
        <f t="shared" si="24"/>
        <v>46859</v>
      </c>
    </row>
    <row r="1570" spans="1:1">
      <c r="A1570" s="6">
        <f t="shared" si="24"/>
        <v>46860</v>
      </c>
    </row>
    <row r="1571" spans="1:1">
      <c r="A1571" s="6">
        <f t="shared" si="24"/>
        <v>46861</v>
      </c>
    </row>
    <row r="1572" spans="1:1">
      <c r="A1572" s="6">
        <f t="shared" si="24"/>
        <v>46862</v>
      </c>
    </row>
    <row r="1573" spans="1:1">
      <c r="A1573" s="6">
        <f t="shared" si="24"/>
        <v>46863</v>
      </c>
    </row>
    <row r="1574" spans="1:1">
      <c r="A1574" s="6">
        <f t="shared" si="24"/>
        <v>46864</v>
      </c>
    </row>
    <row r="1575" spans="1:1">
      <c r="A1575" s="6">
        <f t="shared" si="24"/>
        <v>46865</v>
      </c>
    </row>
    <row r="1576" spans="1:1">
      <c r="A1576" s="6">
        <f t="shared" si="24"/>
        <v>46866</v>
      </c>
    </row>
    <row r="1577" spans="1:1">
      <c r="A1577" s="6">
        <f t="shared" si="24"/>
        <v>46867</v>
      </c>
    </row>
    <row r="1578" spans="1:1">
      <c r="A1578" s="6">
        <f t="shared" si="24"/>
        <v>46868</v>
      </c>
    </row>
    <row r="1579" spans="1:1">
      <c r="A1579" s="6">
        <f t="shared" si="24"/>
        <v>46869</v>
      </c>
    </row>
    <row r="1580" spans="1:1">
      <c r="A1580" s="6">
        <f t="shared" si="24"/>
        <v>46870</v>
      </c>
    </row>
    <row r="1581" spans="1:1">
      <c r="A1581" s="6">
        <f t="shared" si="24"/>
        <v>46871</v>
      </c>
    </row>
    <row r="1582" spans="1:1">
      <c r="A1582" s="6">
        <f t="shared" si="24"/>
        <v>46872</v>
      </c>
    </row>
    <row r="1583" spans="1:1">
      <c r="A1583" s="6">
        <f t="shared" si="24"/>
        <v>46873</v>
      </c>
    </row>
    <row r="1584" spans="1:1">
      <c r="A1584" s="6">
        <f t="shared" si="24"/>
        <v>46874</v>
      </c>
    </row>
    <row r="1585" spans="1:1">
      <c r="A1585" s="6">
        <f t="shared" si="24"/>
        <v>46875</v>
      </c>
    </row>
    <row r="1586" spans="1:1">
      <c r="A1586" s="6">
        <f t="shared" si="24"/>
        <v>46876</v>
      </c>
    </row>
    <row r="1587" spans="1:1">
      <c r="A1587" s="6">
        <f t="shared" si="24"/>
        <v>46877</v>
      </c>
    </row>
    <row r="1588" spans="1:1">
      <c r="A1588" s="6">
        <f t="shared" si="24"/>
        <v>46878</v>
      </c>
    </row>
    <row r="1589" spans="1:1">
      <c r="A1589" s="6">
        <f t="shared" si="24"/>
        <v>46879</v>
      </c>
    </row>
    <row r="1590" spans="1:1">
      <c r="A1590" s="6">
        <f t="shared" si="24"/>
        <v>46880</v>
      </c>
    </row>
    <row r="1591" spans="1:1">
      <c r="A1591" s="6">
        <f t="shared" ref="A1591:A1654" si="25">A1590+1</f>
        <v>46881</v>
      </c>
    </row>
    <row r="1592" spans="1:1">
      <c r="A1592" s="6">
        <f t="shared" si="25"/>
        <v>46882</v>
      </c>
    </row>
    <row r="1593" spans="1:1">
      <c r="A1593" s="6">
        <f t="shared" si="25"/>
        <v>46883</v>
      </c>
    </row>
    <row r="1594" spans="1:1">
      <c r="A1594" s="6">
        <f t="shared" si="25"/>
        <v>46884</v>
      </c>
    </row>
    <row r="1595" spans="1:1">
      <c r="A1595" s="6">
        <f t="shared" si="25"/>
        <v>46885</v>
      </c>
    </row>
    <row r="1596" spans="1:1">
      <c r="A1596" s="6">
        <f t="shared" si="25"/>
        <v>46886</v>
      </c>
    </row>
    <row r="1597" spans="1:1">
      <c r="A1597" s="6">
        <f t="shared" si="25"/>
        <v>46887</v>
      </c>
    </row>
    <row r="1598" spans="1:1">
      <c r="A1598" s="6">
        <f t="shared" si="25"/>
        <v>46888</v>
      </c>
    </row>
    <row r="1599" spans="1:1">
      <c r="A1599" s="6">
        <f t="shared" si="25"/>
        <v>46889</v>
      </c>
    </row>
    <row r="1600" spans="1:1">
      <c r="A1600" s="6">
        <f t="shared" si="25"/>
        <v>46890</v>
      </c>
    </row>
    <row r="1601" spans="1:1">
      <c r="A1601" s="6">
        <f t="shared" si="25"/>
        <v>46891</v>
      </c>
    </row>
    <row r="1602" spans="1:1">
      <c r="A1602" s="6">
        <f t="shared" si="25"/>
        <v>46892</v>
      </c>
    </row>
    <row r="1603" spans="1:1">
      <c r="A1603" s="6">
        <f t="shared" si="25"/>
        <v>46893</v>
      </c>
    </row>
    <row r="1604" spans="1:1">
      <c r="A1604" s="6">
        <f t="shared" si="25"/>
        <v>46894</v>
      </c>
    </row>
    <row r="1605" spans="1:1">
      <c r="A1605" s="6">
        <f t="shared" si="25"/>
        <v>46895</v>
      </c>
    </row>
    <row r="1606" spans="1:1">
      <c r="A1606" s="6">
        <f t="shared" si="25"/>
        <v>46896</v>
      </c>
    </row>
    <row r="1607" spans="1:1">
      <c r="A1607" s="6">
        <f t="shared" si="25"/>
        <v>46897</v>
      </c>
    </row>
    <row r="1608" spans="1:1">
      <c r="A1608" s="6">
        <f t="shared" si="25"/>
        <v>46898</v>
      </c>
    </row>
    <row r="1609" spans="1:1">
      <c r="A1609" s="6">
        <f t="shared" si="25"/>
        <v>46899</v>
      </c>
    </row>
    <row r="1610" spans="1:1">
      <c r="A1610" s="6">
        <f t="shared" si="25"/>
        <v>46900</v>
      </c>
    </row>
    <row r="1611" spans="1:1">
      <c r="A1611" s="6">
        <f t="shared" si="25"/>
        <v>46901</v>
      </c>
    </row>
    <row r="1612" spans="1:1">
      <c r="A1612" s="6">
        <f t="shared" si="25"/>
        <v>46902</v>
      </c>
    </row>
    <row r="1613" spans="1:1">
      <c r="A1613" s="6">
        <f t="shared" si="25"/>
        <v>46903</v>
      </c>
    </row>
    <row r="1614" spans="1:1">
      <c r="A1614" s="6">
        <f t="shared" si="25"/>
        <v>46904</v>
      </c>
    </row>
    <row r="1615" spans="1:1">
      <c r="A1615" s="6">
        <f t="shared" si="25"/>
        <v>46905</v>
      </c>
    </row>
    <row r="1616" spans="1:1">
      <c r="A1616" s="6">
        <f t="shared" si="25"/>
        <v>46906</v>
      </c>
    </row>
    <row r="1617" spans="1:1">
      <c r="A1617" s="6">
        <f t="shared" si="25"/>
        <v>46907</v>
      </c>
    </row>
    <row r="1618" spans="1:1">
      <c r="A1618" s="6">
        <f t="shared" si="25"/>
        <v>46908</v>
      </c>
    </row>
    <row r="1619" spans="1:1">
      <c r="A1619" s="6">
        <f t="shared" si="25"/>
        <v>46909</v>
      </c>
    </row>
    <row r="1620" spans="1:1">
      <c r="A1620" s="6">
        <f t="shared" si="25"/>
        <v>46910</v>
      </c>
    </row>
    <row r="1621" spans="1:1">
      <c r="A1621" s="6">
        <f t="shared" si="25"/>
        <v>46911</v>
      </c>
    </row>
    <row r="1622" spans="1:1">
      <c r="A1622" s="6">
        <f t="shared" si="25"/>
        <v>46912</v>
      </c>
    </row>
    <row r="1623" spans="1:1">
      <c r="A1623" s="6">
        <f t="shared" si="25"/>
        <v>46913</v>
      </c>
    </row>
    <row r="1624" spans="1:1">
      <c r="A1624" s="6">
        <f t="shared" si="25"/>
        <v>46914</v>
      </c>
    </row>
    <row r="1625" spans="1:1">
      <c r="A1625" s="6">
        <f t="shared" si="25"/>
        <v>46915</v>
      </c>
    </row>
    <row r="1626" spans="1:1">
      <c r="A1626" s="6">
        <f t="shared" si="25"/>
        <v>46916</v>
      </c>
    </row>
    <row r="1627" spans="1:1">
      <c r="A1627" s="6">
        <f t="shared" si="25"/>
        <v>46917</v>
      </c>
    </row>
    <row r="1628" spans="1:1">
      <c r="A1628" s="6">
        <f t="shared" si="25"/>
        <v>46918</v>
      </c>
    </row>
    <row r="1629" spans="1:1">
      <c r="A1629" s="6">
        <f t="shared" si="25"/>
        <v>46919</v>
      </c>
    </row>
    <row r="1630" spans="1:1">
      <c r="A1630" s="6">
        <f t="shared" si="25"/>
        <v>46920</v>
      </c>
    </row>
    <row r="1631" spans="1:1">
      <c r="A1631" s="6">
        <f t="shared" si="25"/>
        <v>46921</v>
      </c>
    </row>
    <row r="1632" spans="1:1">
      <c r="A1632" s="6">
        <f t="shared" si="25"/>
        <v>46922</v>
      </c>
    </row>
    <row r="1633" spans="1:1">
      <c r="A1633" s="6">
        <f t="shared" si="25"/>
        <v>46923</v>
      </c>
    </row>
    <row r="1634" spans="1:1">
      <c r="A1634" s="6">
        <f t="shared" si="25"/>
        <v>46924</v>
      </c>
    </row>
    <row r="1635" spans="1:1">
      <c r="A1635" s="6">
        <f t="shared" si="25"/>
        <v>46925</v>
      </c>
    </row>
    <row r="1636" spans="1:1">
      <c r="A1636" s="6">
        <f t="shared" si="25"/>
        <v>46926</v>
      </c>
    </row>
    <row r="1637" spans="1:1">
      <c r="A1637" s="6">
        <f t="shared" si="25"/>
        <v>46927</v>
      </c>
    </row>
    <row r="1638" spans="1:1">
      <c r="A1638" s="6">
        <f t="shared" si="25"/>
        <v>46928</v>
      </c>
    </row>
    <row r="1639" spans="1:1">
      <c r="A1639" s="6">
        <f t="shared" si="25"/>
        <v>46929</v>
      </c>
    </row>
    <row r="1640" spans="1:1">
      <c r="A1640" s="6">
        <f t="shared" si="25"/>
        <v>46930</v>
      </c>
    </row>
    <row r="1641" spans="1:1">
      <c r="A1641" s="6">
        <f t="shared" si="25"/>
        <v>46931</v>
      </c>
    </row>
    <row r="1642" spans="1:1">
      <c r="A1642" s="6">
        <f t="shared" si="25"/>
        <v>46932</v>
      </c>
    </row>
    <row r="1643" spans="1:1">
      <c r="A1643" s="6">
        <f t="shared" si="25"/>
        <v>46933</v>
      </c>
    </row>
    <row r="1644" spans="1:1">
      <c r="A1644" s="6">
        <f t="shared" si="25"/>
        <v>46934</v>
      </c>
    </row>
    <row r="1645" spans="1:1">
      <c r="A1645" s="6">
        <f t="shared" si="25"/>
        <v>46935</v>
      </c>
    </row>
    <row r="1646" spans="1:1">
      <c r="A1646" s="6">
        <f t="shared" si="25"/>
        <v>46936</v>
      </c>
    </row>
    <row r="1647" spans="1:1">
      <c r="A1647" s="6">
        <f t="shared" si="25"/>
        <v>46937</v>
      </c>
    </row>
    <row r="1648" spans="1:1">
      <c r="A1648" s="6">
        <f t="shared" si="25"/>
        <v>46938</v>
      </c>
    </row>
    <row r="1649" spans="1:1">
      <c r="A1649" s="6">
        <f t="shared" si="25"/>
        <v>46939</v>
      </c>
    </row>
    <row r="1650" spans="1:1">
      <c r="A1650" s="6">
        <f t="shared" si="25"/>
        <v>46940</v>
      </c>
    </row>
    <row r="1651" spans="1:1">
      <c r="A1651" s="6">
        <f t="shared" si="25"/>
        <v>46941</v>
      </c>
    </row>
    <row r="1652" spans="1:1">
      <c r="A1652" s="6">
        <f t="shared" si="25"/>
        <v>46942</v>
      </c>
    </row>
    <row r="1653" spans="1:1">
      <c r="A1653" s="6">
        <f t="shared" si="25"/>
        <v>46943</v>
      </c>
    </row>
    <row r="1654" spans="1:1">
      <c r="A1654" s="6">
        <f t="shared" si="25"/>
        <v>46944</v>
      </c>
    </row>
    <row r="1655" spans="1:1">
      <c r="A1655" s="6">
        <f t="shared" ref="A1655:A1718" si="26">A1654+1</f>
        <v>46945</v>
      </c>
    </row>
    <row r="1656" spans="1:1">
      <c r="A1656" s="6">
        <f t="shared" si="26"/>
        <v>46946</v>
      </c>
    </row>
    <row r="1657" spans="1:1">
      <c r="A1657" s="6">
        <f t="shared" si="26"/>
        <v>46947</v>
      </c>
    </row>
    <row r="1658" spans="1:1">
      <c r="A1658" s="6">
        <f t="shared" si="26"/>
        <v>46948</v>
      </c>
    </row>
    <row r="1659" spans="1:1">
      <c r="A1659" s="6">
        <f t="shared" si="26"/>
        <v>46949</v>
      </c>
    </row>
    <row r="1660" spans="1:1">
      <c r="A1660" s="6">
        <f t="shared" si="26"/>
        <v>46950</v>
      </c>
    </row>
    <row r="1661" spans="1:1">
      <c r="A1661" s="6">
        <f t="shared" si="26"/>
        <v>46951</v>
      </c>
    </row>
    <row r="1662" spans="1:1">
      <c r="A1662" s="6">
        <f t="shared" si="26"/>
        <v>46952</v>
      </c>
    </row>
    <row r="1663" spans="1:1">
      <c r="A1663" s="6">
        <f t="shared" si="26"/>
        <v>46953</v>
      </c>
    </row>
    <row r="1664" spans="1:1">
      <c r="A1664" s="6">
        <f t="shared" si="26"/>
        <v>46954</v>
      </c>
    </row>
    <row r="1665" spans="1:1">
      <c r="A1665" s="6">
        <f t="shared" si="26"/>
        <v>46955</v>
      </c>
    </row>
    <row r="1666" spans="1:1">
      <c r="A1666" s="6">
        <f t="shared" si="26"/>
        <v>46956</v>
      </c>
    </row>
    <row r="1667" spans="1:1">
      <c r="A1667" s="6">
        <f t="shared" si="26"/>
        <v>46957</v>
      </c>
    </row>
    <row r="1668" spans="1:1">
      <c r="A1668" s="6">
        <f t="shared" si="26"/>
        <v>46958</v>
      </c>
    </row>
    <row r="1669" spans="1:1">
      <c r="A1669" s="6">
        <f t="shared" si="26"/>
        <v>46959</v>
      </c>
    </row>
    <row r="1670" spans="1:1">
      <c r="A1670" s="6">
        <f t="shared" si="26"/>
        <v>46960</v>
      </c>
    </row>
    <row r="1671" spans="1:1">
      <c r="A1671" s="6">
        <f t="shared" si="26"/>
        <v>46961</v>
      </c>
    </row>
    <row r="1672" spans="1:1">
      <c r="A1672" s="6">
        <f t="shared" si="26"/>
        <v>46962</v>
      </c>
    </row>
    <row r="1673" spans="1:1">
      <c r="A1673" s="6">
        <f t="shared" si="26"/>
        <v>46963</v>
      </c>
    </row>
    <row r="1674" spans="1:1">
      <c r="A1674" s="6">
        <f t="shared" si="26"/>
        <v>46964</v>
      </c>
    </row>
    <row r="1675" spans="1:1">
      <c r="A1675" s="6">
        <f t="shared" si="26"/>
        <v>46965</v>
      </c>
    </row>
    <row r="1676" spans="1:1">
      <c r="A1676" s="6">
        <f t="shared" si="26"/>
        <v>46966</v>
      </c>
    </row>
    <row r="1677" spans="1:1">
      <c r="A1677" s="6">
        <f t="shared" si="26"/>
        <v>46967</v>
      </c>
    </row>
    <row r="1678" spans="1:1">
      <c r="A1678" s="6">
        <f t="shared" si="26"/>
        <v>46968</v>
      </c>
    </row>
    <row r="1679" spans="1:1">
      <c r="A1679" s="6">
        <f t="shared" si="26"/>
        <v>46969</v>
      </c>
    </row>
    <row r="1680" spans="1:1">
      <c r="A1680" s="6">
        <f t="shared" si="26"/>
        <v>46970</v>
      </c>
    </row>
    <row r="1681" spans="1:1">
      <c r="A1681" s="6">
        <f t="shared" si="26"/>
        <v>46971</v>
      </c>
    </row>
    <row r="1682" spans="1:1">
      <c r="A1682" s="6">
        <f t="shared" si="26"/>
        <v>46972</v>
      </c>
    </row>
    <row r="1683" spans="1:1">
      <c r="A1683" s="6">
        <f t="shared" si="26"/>
        <v>46973</v>
      </c>
    </row>
    <row r="1684" spans="1:1">
      <c r="A1684" s="6">
        <f t="shared" si="26"/>
        <v>46974</v>
      </c>
    </row>
    <row r="1685" spans="1:1">
      <c r="A1685" s="6">
        <f t="shared" si="26"/>
        <v>46975</v>
      </c>
    </row>
    <row r="1686" spans="1:1">
      <c r="A1686" s="6">
        <f t="shared" si="26"/>
        <v>46976</v>
      </c>
    </row>
    <row r="1687" spans="1:1">
      <c r="A1687" s="6">
        <f t="shared" si="26"/>
        <v>46977</v>
      </c>
    </row>
    <row r="1688" spans="1:1">
      <c r="A1688" s="6">
        <f t="shared" si="26"/>
        <v>46978</v>
      </c>
    </row>
    <row r="1689" spans="1:1">
      <c r="A1689" s="6">
        <f t="shared" si="26"/>
        <v>46979</v>
      </c>
    </row>
    <row r="1690" spans="1:1">
      <c r="A1690" s="6">
        <f t="shared" si="26"/>
        <v>46980</v>
      </c>
    </row>
    <row r="1691" spans="1:1">
      <c r="A1691" s="6">
        <f t="shared" si="26"/>
        <v>46981</v>
      </c>
    </row>
    <row r="1692" spans="1:1">
      <c r="A1692" s="6">
        <f t="shared" si="26"/>
        <v>46982</v>
      </c>
    </row>
    <row r="1693" spans="1:1">
      <c r="A1693" s="6">
        <f t="shared" si="26"/>
        <v>46983</v>
      </c>
    </row>
    <row r="1694" spans="1:1">
      <c r="A1694" s="6">
        <f t="shared" si="26"/>
        <v>46984</v>
      </c>
    </row>
    <row r="1695" spans="1:1">
      <c r="A1695" s="6">
        <f t="shared" si="26"/>
        <v>46985</v>
      </c>
    </row>
    <row r="1696" spans="1:1">
      <c r="A1696" s="6">
        <f t="shared" si="26"/>
        <v>46986</v>
      </c>
    </row>
    <row r="1697" spans="1:1">
      <c r="A1697" s="6">
        <f t="shared" si="26"/>
        <v>46987</v>
      </c>
    </row>
    <row r="1698" spans="1:1">
      <c r="A1698" s="6">
        <f t="shared" si="26"/>
        <v>46988</v>
      </c>
    </row>
    <row r="1699" spans="1:1">
      <c r="A1699" s="6">
        <f t="shared" si="26"/>
        <v>46989</v>
      </c>
    </row>
    <row r="1700" spans="1:1">
      <c r="A1700" s="6">
        <f t="shared" si="26"/>
        <v>46990</v>
      </c>
    </row>
    <row r="1701" spans="1:1">
      <c r="A1701" s="6">
        <f t="shared" si="26"/>
        <v>46991</v>
      </c>
    </row>
    <row r="1702" spans="1:1">
      <c r="A1702" s="6">
        <f t="shared" si="26"/>
        <v>46992</v>
      </c>
    </row>
    <row r="1703" spans="1:1">
      <c r="A1703" s="6">
        <f t="shared" si="26"/>
        <v>46993</v>
      </c>
    </row>
    <row r="1704" spans="1:1">
      <c r="A1704" s="6">
        <f t="shared" si="26"/>
        <v>46994</v>
      </c>
    </row>
    <row r="1705" spans="1:1">
      <c r="A1705" s="6">
        <f t="shared" si="26"/>
        <v>46995</v>
      </c>
    </row>
    <row r="1706" spans="1:1">
      <c r="A1706" s="6">
        <f t="shared" si="26"/>
        <v>46996</v>
      </c>
    </row>
    <row r="1707" spans="1:1">
      <c r="A1707" s="6">
        <f t="shared" si="26"/>
        <v>46997</v>
      </c>
    </row>
    <row r="1708" spans="1:1">
      <c r="A1708" s="6">
        <f t="shared" si="26"/>
        <v>46998</v>
      </c>
    </row>
    <row r="1709" spans="1:1">
      <c r="A1709" s="6">
        <f t="shared" si="26"/>
        <v>46999</v>
      </c>
    </row>
    <row r="1710" spans="1:1">
      <c r="A1710" s="6">
        <f t="shared" si="26"/>
        <v>47000</v>
      </c>
    </row>
    <row r="1711" spans="1:1">
      <c r="A1711" s="6">
        <f t="shared" si="26"/>
        <v>47001</v>
      </c>
    </row>
    <row r="1712" spans="1:1">
      <c r="A1712" s="6">
        <f t="shared" si="26"/>
        <v>47002</v>
      </c>
    </row>
    <row r="1713" spans="1:1">
      <c r="A1713" s="6">
        <f t="shared" si="26"/>
        <v>47003</v>
      </c>
    </row>
    <row r="1714" spans="1:1">
      <c r="A1714" s="6">
        <f t="shared" si="26"/>
        <v>47004</v>
      </c>
    </row>
    <row r="1715" spans="1:1">
      <c r="A1715" s="6">
        <f t="shared" si="26"/>
        <v>47005</v>
      </c>
    </row>
    <row r="1716" spans="1:1">
      <c r="A1716" s="6">
        <f t="shared" si="26"/>
        <v>47006</v>
      </c>
    </row>
    <row r="1717" spans="1:1">
      <c r="A1717" s="6">
        <f t="shared" si="26"/>
        <v>47007</v>
      </c>
    </row>
    <row r="1718" spans="1:1">
      <c r="A1718" s="6">
        <f t="shared" si="26"/>
        <v>47008</v>
      </c>
    </row>
    <row r="1719" spans="1:1">
      <c r="A1719" s="6">
        <f t="shared" ref="A1719:A1782" si="27">A1718+1</f>
        <v>47009</v>
      </c>
    </row>
    <row r="1720" spans="1:1">
      <c r="A1720" s="6">
        <f t="shared" si="27"/>
        <v>47010</v>
      </c>
    </row>
    <row r="1721" spans="1:1">
      <c r="A1721" s="6">
        <f t="shared" si="27"/>
        <v>47011</v>
      </c>
    </row>
    <row r="1722" spans="1:1">
      <c r="A1722" s="6">
        <f t="shared" si="27"/>
        <v>47012</v>
      </c>
    </row>
    <row r="1723" spans="1:1">
      <c r="A1723" s="6">
        <f t="shared" si="27"/>
        <v>47013</v>
      </c>
    </row>
    <row r="1724" spans="1:1">
      <c r="A1724" s="6">
        <f t="shared" si="27"/>
        <v>47014</v>
      </c>
    </row>
    <row r="1725" spans="1:1">
      <c r="A1725" s="6">
        <f t="shared" si="27"/>
        <v>47015</v>
      </c>
    </row>
    <row r="1726" spans="1:1">
      <c r="A1726" s="6">
        <f t="shared" si="27"/>
        <v>47016</v>
      </c>
    </row>
    <row r="1727" spans="1:1">
      <c r="A1727" s="6">
        <f t="shared" si="27"/>
        <v>47017</v>
      </c>
    </row>
    <row r="1728" spans="1:1">
      <c r="A1728" s="6">
        <f t="shared" si="27"/>
        <v>47018</v>
      </c>
    </row>
    <row r="1729" spans="1:1">
      <c r="A1729" s="6">
        <f t="shared" si="27"/>
        <v>47019</v>
      </c>
    </row>
    <row r="1730" spans="1:1">
      <c r="A1730" s="6">
        <f t="shared" si="27"/>
        <v>47020</v>
      </c>
    </row>
    <row r="1731" spans="1:1">
      <c r="A1731" s="6">
        <f t="shared" si="27"/>
        <v>47021</v>
      </c>
    </row>
    <row r="1732" spans="1:1">
      <c r="A1732" s="6">
        <f t="shared" si="27"/>
        <v>47022</v>
      </c>
    </row>
    <row r="1733" spans="1:1">
      <c r="A1733" s="6">
        <f t="shared" si="27"/>
        <v>47023</v>
      </c>
    </row>
    <row r="1734" spans="1:1">
      <c r="A1734" s="6">
        <f t="shared" si="27"/>
        <v>47024</v>
      </c>
    </row>
    <row r="1735" spans="1:1">
      <c r="A1735" s="6">
        <f t="shared" si="27"/>
        <v>47025</v>
      </c>
    </row>
    <row r="1736" spans="1:1">
      <c r="A1736" s="6">
        <f t="shared" si="27"/>
        <v>47026</v>
      </c>
    </row>
    <row r="1737" spans="1:1">
      <c r="A1737" s="6">
        <f t="shared" si="27"/>
        <v>47027</v>
      </c>
    </row>
    <row r="1738" spans="1:1">
      <c r="A1738" s="6">
        <f t="shared" si="27"/>
        <v>47028</v>
      </c>
    </row>
    <row r="1739" spans="1:1">
      <c r="A1739" s="6">
        <f t="shared" si="27"/>
        <v>47029</v>
      </c>
    </row>
    <row r="1740" spans="1:1">
      <c r="A1740" s="6">
        <f t="shared" si="27"/>
        <v>47030</v>
      </c>
    </row>
    <row r="1741" spans="1:1">
      <c r="A1741" s="6">
        <f t="shared" si="27"/>
        <v>47031</v>
      </c>
    </row>
    <row r="1742" spans="1:1">
      <c r="A1742" s="6">
        <f t="shared" si="27"/>
        <v>47032</v>
      </c>
    </row>
    <row r="1743" spans="1:1">
      <c r="A1743" s="6">
        <f t="shared" si="27"/>
        <v>47033</v>
      </c>
    </row>
    <row r="1744" spans="1:1">
      <c r="A1744" s="6">
        <f t="shared" si="27"/>
        <v>47034</v>
      </c>
    </row>
    <row r="1745" spans="1:1">
      <c r="A1745" s="6">
        <f t="shared" si="27"/>
        <v>47035</v>
      </c>
    </row>
    <row r="1746" spans="1:1">
      <c r="A1746" s="6">
        <f t="shared" si="27"/>
        <v>47036</v>
      </c>
    </row>
    <row r="1747" spans="1:1">
      <c r="A1747" s="6">
        <f t="shared" si="27"/>
        <v>47037</v>
      </c>
    </row>
    <row r="1748" spans="1:1">
      <c r="A1748" s="6">
        <f t="shared" si="27"/>
        <v>47038</v>
      </c>
    </row>
    <row r="1749" spans="1:1">
      <c r="A1749" s="6">
        <f t="shared" si="27"/>
        <v>47039</v>
      </c>
    </row>
    <row r="1750" spans="1:1">
      <c r="A1750" s="6">
        <f t="shared" si="27"/>
        <v>47040</v>
      </c>
    </row>
    <row r="1751" spans="1:1">
      <c r="A1751" s="6">
        <f t="shared" si="27"/>
        <v>47041</v>
      </c>
    </row>
    <row r="1752" spans="1:1">
      <c r="A1752" s="6">
        <f t="shared" si="27"/>
        <v>47042</v>
      </c>
    </row>
    <row r="1753" spans="1:1">
      <c r="A1753" s="6">
        <f t="shared" si="27"/>
        <v>47043</v>
      </c>
    </row>
    <row r="1754" spans="1:1">
      <c r="A1754" s="6">
        <f t="shared" si="27"/>
        <v>47044</v>
      </c>
    </row>
    <row r="1755" spans="1:1">
      <c r="A1755" s="6">
        <f t="shared" si="27"/>
        <v>47045</v>
      </c>
    </row>
    <row r="1756" spans="1:1">
      <c r="A1756" s="6">
        <f t="shared" si="27"/>
        <v>47046</v>
      </c>
    </row>
    <row r="1757" spans="1:1">
      <c r="A1757" s="6">
        <f t="shared" si="27"/>
        <v>47047</v>
      </c>
    </row>
    <row r="1758" spans="1:1">
      <c r="A1758" s="6">
        <f t="shared" si="27"/>
        <v>47048</v>
      </c>
    </row>
    <row r="1759" spans="1:1">
      <c r="A1759" s="6">
        <f t="shared" si="27"/>
        <v>47049</v>
      </c>
    </row>
    <row r="1760" spans="1:1">
      <c r="A1760" s="6">
        <f t="shared" si="27"/>
        <v>47050</v>
      </c>
    </row>
    <row r="1761" spans="1:1">
      <c r="A1761" s="6">
        <f t="shared" si="27"/>
        <v>47051</v>
      </c>
    </row>
    <row r="1762" spans="1:1">
      <c r="A1762" s="6">
        <f t="shared" si="27"/>
        <v>47052</v>
      </c>
    </row>
    <row r="1763" spans="1:1">
      <c r="A1763" s="6">
        <f t="shared" si="27"/>
        <v>47053</v>
      </c>
    </row>
    <row r="1764" spans="1:1">
      <c r="A1764" s="6">
        <f t="shared" si="27"/>
        <v>47054</v>
      </c>
    </row>
    <row r="1765" spans="1:1">
      <c r="A1765" s="6">
        <f t="shared" si="27"/>
        <v>47055</v>
      </c>
    </row>
    <row r="1766" spans="1:1">
      <c r="A1766" s="6">
        <f t="shared" si="27"/>
        <v>47056</v>
      </c>
    </row>
    <row r="1767" spans="1:1">
      <c r="A1767" s="6">
        <f t="shared" si="27"/>
        <v>47057</v>
      </c>
    </row>
    <row r="1768" spans="1:1">
      <c r="A1768" s="6">
        <f t="shared" si="27"/>
        <v>47058</v>
      </c>
    </row>
    <row r="1769" spans="1:1">
      <c r="A1769" s="6">
        <f t="shared" si="27"/>
        <v>47059</v>
      </c>
    </row>
    <row r="1770" spans="1:1">
      <c r="A1770" s="6">
        <f t="shared" si="27"/>
        <v>47060</v>
      </c>
    </row>
    <row r="1771" spans="1:1">
      <c r="A1771" s="6">
        <f t="shared" si="27"/>
        <v>47061</v>
      </c>
    </row>
    <row r="1772" spans="1:1">
      <c r="A1772" s="6">
        <f t="shared" si="27"/>
        <v>47062</v>
      </c>
    </row>
    <row r="1773" spans="1:1">
      <c r="A1773" s="6">
        <f t="shared" si="27"/>
        <v>47063</v>
      </c>
    </row>
    <row r="1774" spans="1:1">
      <c r="A1774" s="6">
        <f t="shared" si="27"/>
        <v>47064</v>
      </c>
    </row>
    <row r="1775" spans="1:1">
      <c r="A1775" s="6">
        <f t="shared" si="27"/>
        <v>47065</v>
      </c>
    </row>
    <row r="1776" spans="1:1">
      <c r="A1776" s="6">
        <f t="shared" si="27"/>
        <v>47066</v>
      </c>
    </row>
    <row r="1777" spans="1:1">
      <c r="A1777" s="6">
        <f t="shared" si="27"/>
        <v>47067</v>
      </c>
    </row>
    <row r="1778" spans="1:1">
      <c r="A1778" s="6">
        <f t="shared" si="27"/>
        <v>47068</v>
      </c>
    </row>
    <row r="1779" spans="1:1">
      <c r="A1779" s="6">
        <f t="shared" si="27"/>
        <v>47069</v>
      </c>
    </row>
    <row r="1780" spans="1:1">
      <c r="A1780" s="6">
        <f t="shared" si="27"/>
        <v>47070</v>
      </c>
    </row>
    <row r="1781" spans="1:1">
      <c r="A1781" s="6">
        <f t="shared" si="27"/>
        <v>47071</v>
      </c>
    </row>
    <row r="1782" spans="1:1">
      <c r="A1782" s="6">
        <f t="shared" si="27"/>
        <v>47072</v>
      </c>
    </row>
    <row r="1783" spans="1:1">
      <c r="A1783" s="6">
        <f t="shared" ref="A1783:A1846" si="28">A1782+1</f>
        <v>47073</v>
      </c>
    </row>
    <row r="1784" spans="1:1">
      <c r="A1784" s="6">
        <f t="shared" si="28"/>
        <v>47074</v>
      </c>
    </row>
    <row r="1785" spans="1:1">
      <c r="A1785" s="6">
        <f t="shared" si="28"/>
        <v>47075</v>
      </c>
    </row>
    <row r="1786" spans="1:1">
      <c r="A1786" s="6">
        <f t="shared" si="28"/>
        <v>47076</v>
      </c>
    </row>
    <row r="1787" spans="1:1">
      <c r="A1787" s="6">
        <f t="shared" si="28"/>
        <v>47077</v>
      </c>
    </row>
    <row r="1788" spans="1:1">
      <c r="A1788" s="6">
        <f t="shared" si="28"/>
        <v>47078</v>
      </c>
    </row>
    <row r="1789" spans="1:1">
      <c r="A1789" s="6">
        <f t="shared" si="28"/>
        <v>47079</v>
      </c>
    </row>
    <row r="1790" spans="1:1">
      <c r="A1790" s="6">
        <f t="shared" si="28"/>
        <v>47080</v>
      </c>
    </row>
    <row r="1791" spans="1:1">
      <c r="A1791" s="6">
        <f t="shared" si="28"/>
        <v>47081</v>
      </c>
    </row>
    <row r="1792" spans="1:1">
      <c r="A1792" s="6">
        <f t="shared" si="28"/>
        <v>47082</v>
      </c>
    </row>
    <row r="1793" spans="1:1">
      <c r="A1793" s="6">
        <f t="shared" si="28"/>
        <v>47083</v>
      </c>
    </row>
    <row r="1794" spans="1:1">
      <c r="A1794" s="6">
        <f t="shared" si="28"/>
        <v>47084</v>
      </c>
    </row>
    <row r="1795" spans="1:1">
      <c r="A1795" s="6">
        <f t="shared" si="28"/>
        <v>47085</v>
      </c>
    </row>
    <row r="1796" spans="1:1">
      <c r="A1796" s="6">
        <f t="shared" si="28"/>
        <v>47086</v>
      </c>
    </row>
    <row r="1797" spans="1:1">
      <c r="A1797" s="6">
        <f t="shared" si="28"/>
        <v>47087</v>
      </c>
    </row>
    <row r="1798" spans="1:1">
      <c r="A1798" s="6">
        <f t="shared" si="28"/>
        <v>47088</v>
      </c>
    </row>
    <row r="1799" spans="1:1">
      <c r="A1799" s="6">
        <f t="shared" si="28"/>
        <v>47089</v>
      </c>
    </row>
    <row r="1800" spans="1:1">
      <c r="A1800" s="6">
        <f t="shared" si="28"/>
        <v>47090</v>
      </c>
    </row>
    <row r="1801" spans="1:1">
      <c r="A1801" s="6">
        <f t="shared" si="28"/>
        <v>47091</v>
      </c>
    </row>
    <row r="1802" spans="1:1">
      <c r="A1802" s="6">
        <f t="shared" si="28"/>
        <v>47092</v>
      </c>
    </row>
    <row r="1803" spans="1:1">
      <c r="A1803" s="6">
        <f t="shared" si="28"/>
        <v>47093</v>
      </c>
    </row>
    <row r="1804" spans="1:1">
      <c r="A1804" s="6">
        <f t="shared" si="28"/>
        <v>47094</v>
      </c>
    </row>
    <row r="1805" spans="1:1">
      <c r="A1805" s="6">
        <f t="shared" si="28"/>
        <v>47095</v>
      </c>
    </row>
    <row r="1806" spans="1:1">
      <c r="A1806" s="6">
        <f t="shared" si="28"/>
        <v>47096</v>
      </c>
    </row>
    <row r="1807" spans="1:1">
      <c r="A1807" s="6">
        <f t="shared" si="28"/>
        <v>47097</v>
      </c>
    </row>
    <row r="1808" spans="1:1">
      <c r="A1808" s="6">
        <f t="shared" si="28"/>
        <v>47098</v>
      </c>
    </row>
    <row r="1809" spans="1:1">
      <c r="A1809" s="6">
        <f t="shared" si="28"/>
        <v>47099</v>
      </c>
    </row>
    <row r="1810" spans="1:1">
      <c r="A1810" s="6">
        <f t="shared" si="28"/>
        <v>47100</v>
      </c>
    </row>
    <row r="1811" spans="1:1">
      <c r="A1811" s="6">
        <f t="shared" si="28"/>
        <v>47101</v>
      </c>
    </row>
    <row r="1812" spans="1:1">
      <c r="A1812" s="6">
        <f t="shared" si="28"/>
        <v>47102</v>
      </c>
    </row>
    <row r="1813" spans="1:1">
      <c r="A1813" s="6">
        <f t="shared" si="28"/>
        <v>47103</v>
      </c>
    </row>
    <row r="1814" spans="1:1">
      <c r="A1814" s="6">
        <f t="shared" si="28"/>
        <v>47104</v>
      </c>
    </row>
    <row r="1815" spans="1:1">
      <c r="A1815" s="6">
        <f t="shared" si="28"/>
        <v>47105</v>
      </c>
    </row>
    <row r="1816" spans="1:1">
      <c r="A1816" s="6">
        <f t="shared" si="28"/>
        <v>47106</v>
      </c>
    </row>
    <row r="1817" spans="1:1">
      <c r="A1817" s="6">
        <f t="shared" si="28"/>
        <v>47107</v>
      </c>
    </row>
    <row r="1818" spans="1:1">
      <c r="A1818" s="6">
        <f t="shared" si="28"/>
        <v>47108</v>
      </c>
    </row>
    <row r="1819" spans="1:1">
      <c r="A1819" s="6">
        <f t="shared" si="28"/>
        <v>47109</v>
      </c>
    </row>
    <row r="1820" spans="1:1">
      <c r="A1820" s="6">
        <f t="shared" si="28"/>
        <v>47110</v>
      </c>
    </row>
    <row r="1821" spans="1:1">
      <c r="A1821" s="6">
        <f t="shared" si="28"/>
        <v>47111</v>
      </c>
    </row>
    <row r="1822" spans="1:1">
      <c r="A1822" s="6">
        <f t="shared" si="28"/>
        <v>47112</v>
      </c>
    </row>
    <row r="1823" spans="1:1">
      <c r="A1823" s="6">
        <f t="shared" si="28"/>
        <v>47113</v>
      </c>
    </row>
    <row r="1824" spans="1:1">
      <c r="A1824" s="6">
        <f t="shared" si="28"/>
        <v>47114</v>
      </c>
    </row>
    <row r="1825" spans="1:1">
      <c r="A1825" s="6">
        <f t="shared" si="28"/>
        <v>47115</v>
      </c>
    </row>
    <row r="1826" spans="1:1">
      <c r="A1826" s="6">
        <f t="shared" si="28"/>
        <v>47116</v>
      </c>
    </row>
    <row r="1827" spans="1:1">
      <c r="A1827" s="6">
        <f t="shared" si="28"/>
        <v>47117</v>
      </c>
    </row>
    <row r="1828" spans="1:1">
      <c r="A1828" s="6">
        <f t="shared" si="28"/>
        <v>47118</v>
      </c>
    </row>
    <row r="1829" spans="1:1">
      <c r="A1829" s="6">
        <f t="shared" si="28"/>
        <v>47119</v>
      </c>
    </row>
    <row r="1830" spans="1:1">
      <c r="A1830" s="6">
        <f t="shared" si="28"/>
        <v>47120</v>
      </c>
    </row>
    <row r="1831" spans="1:1">
      <c r="A1831" s="6">
        <f t="shared" si="28"/>
        <v>47121</v>
      </c>
    </row>
    <row r="1832" spans="1:1">
      <c r="A1832" s="6">
        <f t="shared" si="28"/>
        <v>47122</v>
      </c>
    </row>
    <row r="1833" spans="1:1">
      <c r="A1833" s="6">
        <f t="shared" si="28"/>
        <v>47123</v>
      </c>
    </row>
    <row r="1834" spans="1:1">
      <c r="A1834" s="6">
        <f t="shared" si="28"/>
        <v>47124</v>
      </c>
    </row>
    <row r="1835" spans="1:1">
      <c r="A1835" s="6">
        <f t="shared" si="28"/>
        <v>47125</v>
      </c>
    </row>
    <row r="1836" spans="1:1">
      <c r="A1836" s="6">
        <f t="shared" si="28"/>
        <v>47126</v>
      </c>
    </row>
    <row r="1837" spans="1:1">
      <c r="A1837" s="6">
        <f t="shared" si="28"/>
        <v>47127</v>
      </c>
    </row>
    <row r="1838" spans="1:1">
      <c r="A1838" s="6">
        <f t="shared" si="28"/>
        <v>47128</v>
      </c>
    </row>
    <row r="1839" spans="1:1">
      <c r="A1839" s="6">
        <f t="shared" si="28"/>
        <v>47129</v>
      </c>
    </row>
    <row r="1840" spans="1:1">
      <c r="A1840" s="6">
        <f t="shared" si="28"/>
        <v>47130</v>
      </c>
    </row>
    <row r="1841" spans="1:1">
      <c r="A1841" s="6">
        <f t="shared" si="28"/>
        <v>47131</v>
      </c>
    </row>
    <row r="1842" spans="1:1">
      <c r="A1842" s="6">
        <f t="shared" si="28"/>
        <v>47132</v>
      </c>
    </row>
    <row r="1843" spans="1:1">
      <c r="A1843" s="6">
        <f t="shared" si="28"/>
        <v>47133</v>
      </c>
    </row>
    <row r="1844" spans="1:1">
      <c r="A1844" s="6">
        <f t="shared" si="28"/>
        <v>47134</v>
      </c>
    </row>
    <row r="1845" spans="1:1">
      <c r="A1845" s="6">
        <f t="shared" si="28"/>
        <v>47135</v>
      </c>
    </row>
    <row r="1846" spans="1:1">
      <c r="A1846" s="6">
        <f t="shared" si="28"/>
        <v>47136</v>
      </c>
    </row>
    <row r="1847" spans="1:1">
      <c r="A1847" s="6">
        <f t="shared" ref="A1847:A1910" si="29">A1846+1</f>
        <v>47137</v>
      </c>
    </row>
    <row r="1848" spans="1:1">
      <c r="A1848" s="6">
        <f t="shared" si="29"/>
        <v>47138</v>
      </c>
    </row>
    <row r="1849" spans="1:1">
      <c r="A1849" s="6">
        <f t="shared" si="29"/>
        <v>47139</v>
      </c>
    </row>
    <row r="1850" spans="1:1">
      <c r="A1850" s="6">
        <f t="shared" si="29"/>
        <v>47140</v>
      </c>
    </row>
    <row r="1851" spans="1:1">
      <c r="A1851" s="6">
        <f t="shared" si="29"/>
        <v>47141</v>
      </c>
    </row>
    <row r="1852" spans="1:1">
      <c r="A1852" s="6">
        <f t="shared" si="29"/>
        <v>47142</v>
      </c>
    </row>
    <row r="1853" spans="1:1">
      <c r="A1853" s="6">
        <f t="shared" si="29"/>
        <v>47143</v>
      </c>
    </row>
    <row r="1854" spans="1:1">
      <c r="A1854" s="6">
        <f t="shared" si="29"/>
        <v>47144</v>
      </c>
    </row>
    <row r="1855" spans="1:1">
      <c r="A1855" s="6">
        <f t="shared" si="29"/>
        <v>47145</v>
      </c>
    </row>
    <row r="1856" spans="1:1">
      <c r="A1856" s="6">
        <f t="shared" si="29"/>
        <v>47146</v>
      </c>
    </row>
    <row r="1857" spans="1:1">
      <c r="A1857" s="6">
        <f t="shared" si="29"/>
        <v>47147</v>
      </c>
    </row>
    <row r="1858" spans="1:1">
      <c r="A1858" s="6">
        <f t="shared" si="29"/>
        <v>47148</v>
      </c>
    </row>
    <row r="1859" spans="1:1">
      <c r="A1859" s="6">
        <f t="shared" si="29"/>
        <v>47149</v>
      </c>
    </row>
    <row r="1860" spans="1:1">
      <c r="A1860" s="6">
        <f t="shared" si="29"/>
        <v>47150</v>
      </c>
    </row>
    <row r="1861" spans="1:1">
      <c r="A1861" s="6">
        <f t="shared" si="29"/>
        <v>47151</v>
      </c>
    </row>
    <row r="1862" spans="1:1">
      <c r="A1862" s="6">
        <f t="shared" si="29"/>
        <v>47152</v>
      </c>
    </row>
    <row r="1863" spans="1:1">
      <c r="A1863" s="6">
        <f t="shared" si="29"/>
        <v>47153</v>
      </c>
    </row>
    <row r="1864" spans="1:1">
      <c r="A1864" s="6">
        <f t="shared" si="29"/>
        <v>47154</v>
      </c>
    </row>
    <row r="1865" spans="1:1">
      <c r="A1865" s="6">
        <f t="shared" si="29"/>
        <v>47155</v>
      </c>
    </row>
    <row r="1866" spans="1:1">
      <c r="A1866" s="6">
        <f t="shared" si="29"/>
        <v>47156</v>
      </c>
    </row>
    <row r="1867" spans="1:1">
      <c r="A1867" s="6">
        <f t="shared" si="29"/>
        <v>47157</v>
      </c>
    </row>
    <row r="1868" spans="1:1">
      <c r="A1868" s="6">
        <f t="shared" si="29"/>
        <v>47158</v>
      </c>
    </row>
    <row r="1869" spans="1:1">
      <c r="A1869" s="6">
        <f t="shared" si="29"/>
        <v>47159</v>
      </c>
    </row>
    <row r="1870" spans="1:1">
      <c r="A1870" s="6">
        <f t="shared" si="29"/>
        <v>47160</v>
      </c>
    </row>
    <row r="1871" spans="1:1">
      <c r="A1871" s="6">
        <f t="shared" si="29"/>
        <v>47161</v>
      </c>
    </row>
    <row r="1872" spans="1:1">
      <c r="A1872" s="6">
        <f t="shared" si="29"/>
        <v>47162</v>
      </c>
    </row>
    <row r="1873" spans="1:1">
      <c r="A1873" s="6">
        <f t="shared" si="29"/>
        <v>47163</v>
      </c>
    </row>
    <row r="1874" spans="1:1">
      <c r="A1874" s="6">
        <f t="shared" si="29"/>
        <v>47164</v>
      </c>
    </row>
    <row r="1875" spans="1:1">
      <c r="A1875" s="6">
        <f t="shared" si="29"/>
        <v>47165</v>
      </c>
    </row>
    <row r="1876" spans="1:1">
      <c r="A1876" s="6">
        <f t="shared" si="29"/>
        <v>47166</v>
      </c>
    </row>
    <row r="1877" spans="1:1">
      <c r="A1877" s="6">
        <f t="shared" si="29"/>
        <v>47167</v>
      </c>
    </row>
    <row r="1878" spans="1:1">
      <c r="A1878" s="6">
        <f t="shared" si="29"/>
        <v>47168</v>
      </c>
    </row>
    <row r="1879" spans="1:1">
      <c r="A1879" s="6">
        <f t="shared" si="29"/>
        <v>47169</v>
      </c>
    </row>
    <row r="1880" spans="1:1">
      <c r="A1880" s="6">
        <f t="shared" si="29"/>
        <v>47170</v>
      </c>
    </row>
    <row r="1881" spans="1:1">
      <c r="A1881" s="6">
        <f t="shared" si="29"/>
        <v>47171</v>
      </c>
    </row>
    <row r="1882" spans="1:1">
      <c r="A1882" s="6">
        <f t="shared" si="29"/>
        <v>47172</v>
      </c>
    </row>
    <row r="1883" spans="1:1">
      <c r="A1883" s="6">
        <f t="shared" si="29"/>
        <v>47173</v>
      </c>
    </row>
    <row r="1884" spans="1:1">
      <c r="A1884" s="6">
        <f t="shared" si="29"/>
        <v>47174</v>
      </c>
    </row>
    <row r="1885" spans="1:1">
      <c r="A1885" s="6">
        <f t="shared" si="29"/>
        <v>47175</v>
      </c>
    </row>
    <row r="1886" spans="1:1">
      <c r="A1886" s="6">
        <f t="shared" si="29"/>
        <v>47176</v>
      </c>
    </row>
    <row r="1887" spans="1:1">
      <c r="A1887" s="6">
        <f t="shared" si="29"/>
        <v>47177</v>
      </c>
    </row>
    <row r="1888" spans="1:1">
      <c r="A1888" s="6">
        <f t="shared" si="29"/>
        <v>47178</v>
      </c>
    </row>
    <row r="1889" spans="1:1">
      <c r="A1889" s="6">
        <f t="shared" si="29"/>
        <v>47179</v>
      </c>
    </row>
    <row r="1890" spans="1:1">
      <c r="A1890" s="6">
        <f t="shared" si="29"/>
        <v>47180</v>
      </c>
    </row>
    <row r="1891" spans="1:1">
      <c r="A1891" s="6">
        <f t="shared" si="29"/>
        <v>47181</v>
      </c>
    </row>
    <row r="1892" spans="1:1">
      <c r="A1892" s="6">
        <f t="shared" si="29"/>
        <v>47182</v>
      </c>
    </row>
    <row r="1893" spans="1:1">
      <c r="A1893" s="6">
        <f t="shared" si="29"/>
        <v>47183</v>
      </c>
    </row>
    <row r="1894" spans="1:1">
      <c r="A1894" s="6">
        <f t="shared" si="29"/>
        <v>47184</v>
      </c>
    </row>
    <row r="1895" spans="1:1">
      <c r="A1895" s="6">
        <f t="shared" si="29"/>
        <v>47185</v>
      </c>
    </row>
    <row r="1896" spans="1:1">
      <c r="A1896" s="6">
        <f t="shared" si="29"/>
        <v>47186</v>
      </c>
    </row>
    <row r="1897" spans="1:1">
      <c r="A1897" s="6">
        <f t="shared" si="29"/>
        <v>47187</v>
      </c>
    </row>
    <row r="1898" spans="1:1">
      <c r="A1898" s="6">
        <f t="shared" si="29"/>
        <v>47188</v>
      </c>
    </row>
    <row r="1899" spans="1:1">
      <c r="A1899" s="6">
        <f t="shared" si="29"/>
        <v>47189</v>
      </c>
    </row>
    <row r="1900" spans="1:1">
      <c r="A1900" s="6">
        <f t="shared" si="29"/>
        <v>47190</v>
      </c>
    </row>
    <row r="1901" spans="1:1">
      <c r="A1901" s="6">
        <f t="shared" si="29"/>
        <v>47191</v>
      </c>
    </row>
    <row r="1902" spans="1:1">
      <c r="A1902" s="6">
        <f t="shared" si="29"/>
        <v>47192</v>
      </c>
    </row>
    <row r="1903" spans="1:1">
      <c r="A1903" s="6">
        <f t="shared" si="29"/>
        <v>47193</v>
      </c>
    </row>
    <row r="1904" spans="1:1">
      <c r="A1904" s="6">
        <f t="shared" si="29"/>
        <v>47194</v>
      </c>
    </row>
    <row r="1905" spans="1:1">
      <c r="A1905" s="6">
        <f t="shared" si="29"/>
        <v>47195</v>
      </c>
    </row>
    <row r="1906" spans="1:1">
      <c r="A1906" s="6">
        <f t="shared" si="29"/>
        <v>47196</v>
      </c>
    </row>
    <row r="1907" spans="1:1">
      <c r="A1907" s="6">
        <f t="shared" si="29"/>
        <v>47197</v>
      </c>
    </row>
    <row r="1908" spans="1:1">
      <c r="A1908" s="6">
        <f t="shared" si="29"/>
        <v>47198</v>
      </c>
    </row>
    <row r="1909" spans="1:1">
      <c r="A1909" s="6">
        <f t="shared" si="29"/>
        <v>47199</v>
      </c>
    </row>
    <row r="1910" spans="1:1">
      <c r="A1910" s="6">
        <f t="shared" si="29"/>
        <v>47200</v>
      </c>
    </row>
    <row r="1911" spans="1:1">
      <c r="A1911" s="6">
        <f t="shared" ref="A1911:A1974" si="30">A1910+1</f>
        <v>47201</v>
      </c>
    </row>
    <row r="1912" spans="1:1">
      <c r="A1912" s="6">
        <f t="shared" si="30"/>
        <v>47202</v>
      </c>
    </row>
    <row r="1913" spans="1:1">
      <c r="A1913" s="6">
        <f t="shared" si="30"/>
        <v>47203</v>
      </c>
    </row>
    <row r="1914" spans="1:1">
      <c r="A1914" s="6">
        <f t="shared" si="30"/>
        <v>47204</v>
      </c>
    </row>
    <row r="1915" spans="1:1">
      <c r="A1915" s="6">
        <f t="shared" si="30"/>
        <v>47205</v>
      </c>
    </row>
    <row r="1916" spans="1:1">
      <c r="A1916" s="6">
        <f t="shared" si="30"/>
        <v>47206</v>
      </c>
    </row>
    <row r="1917" spans="1:1">
      <c r="A1917" s="6">
        <f t="shared" si="30"/>
        <v>47207</v>
      </c>
    </row>
    <row r="1918" spans="1:1">
      <c r="A1918" s="6">
        <f t="shared" si="30"/>
        <v>47208</v>
      </c>
    </row>
    <row r="1919" spans="1:1">
      <c r="A1919" s="6">
        <f t="shared" si="30"/>
        <v>47209</v>
      </c>
    </row>
    <row r="1920" spans="1:1">
      <c r="A1920" s="6">
        <f t="shared" si="30"/>
        <v>47210</v>
      </c>
    </row>
    <row r="1921" spans="1:1">
      <c r="A1921" s="6">
        <f t="shared" si="30"/>
        <v>47211</v>
      </c>
    </row>
    <row r="1922" spans="1:1">
      <c r="A1922" s="6">
        <f t="shared" si="30"/>
        <v>47212</v>
      </c>
    </row>
    <row r="1923" spans="1:1">
      <c r="A1923" s="6">
        <f t="shared" si="30"/>
        <v>47213</v>
      </c>
    </row>
    <row r="1924" spans="1:1">
      <c r="A1924" s="6">
        <f t="shared" si="30"/>
        <v>47214</v>
      </c>
    </row>
    <row r="1925" spans="1:1">
      <c r="A1925" s="6">
        <f t="shared" si="30"/>
        <v>47215</v>
      </c>
    </row>
    <row r="1926" spans="1:1">
      <c r="A1926" s="6">
        <f t="shared" si="30"/>
        <v>47216</v>
      </c>
    </row>
    <row r="1927" spans="1:1">
      <c r="A1927" s="6">
        <f t="shared" si="30"/>
        <v>47217</v>
      </c>
    </row>
    <row r="1928" spans="1:1">
      <c r="A1928" s="6">
        <f t="shared" si="30"/>
        <v>47218</v>
      </c>
    </row>
    <row r="1929" spans="1:1">
      <c r="A1929" s="6">
        <f t="shared" si="30"/>
        <v>47219</v>
      </c>
    </row>
    <row r="1930" spans="1:1">
      <c r="A1930" s="6">
        <f t="shared" si="30"/>
        <v>47220</v>
      </c>
    </row>
    <row r="1931" spans="1:1">
      <c r="A1931" s="6">
        <f t="shared" si="30"/>
        <v>47221</v>
      </c>
    </row>
    <row r="1932" spans="1:1">
      <c r="A1932" s="6">
        <f t="shared" si="30"/>
        <v>47222</v>
      </c>
    </row>
    <row r="1933" spans="1:1">
      <c r="A1933" s="6">
        <f t="shared" si="30"/>
        <v>47223</v>
      </c>
    </row>
    <row r="1934" spans="1:1">
      <c r="A1934" s="6">
        <f t="shared" si="30"/>
        <v>47224</v>
      </c>
    </row>
    <row r="1935" spans="1:1">
      <c r="A1935" s="6">
        <f t="shared" si="30"/>
        <v>47225</v>
      </c>
    </row>
    <row r="1936" spans="1:1">
      <c r="A1936" s="6">
        <f t="shared" si="30"/>
        <v>47226</v>
      </c>
    </row>
    <row r="1937" spans="1:1">
      <c r="A1937" s="6">
        <f t="shared" si="30"/>
        <v>47227</v>
      </c>
    </row>
    <row r="1938" spans="1:1">
      <c r="A1938" s="6">
        <f t="shared" si="30"/>
        <v>47228</v>
      </c>
    </row>
    <row r="1939" spans="1:1">
      <c r="A1939" s="6">
        <f t="shared" si="30"/>
        <v>47229</v>
      </c>
    </row>
    <row r="1940" spans="1:1">
      <c r="A1940" s="6">
        <f t="shared" si="30"/>
        <v>47230</v>
      </c>
    </row>
    <row r="1941" spans="1:1">
      <c r="A1941" s="6">
        <f t="shared" si="30"/>
        <v>47231</v>
      </c>
    </row>
    <row r="1942" spans="1:1">
      <c r="A1942" s="6">
        <f t="shared" si="30"/>
        <v>47232</v>
      </c>
    </row>
    <row r="1943" spans="1:1">
      <c r="A1943" s="6">
        <f t="shared" si="30"/>
        <v>47233</v>
      </c>
    </row>
    <row r="1944" spans="1:1">
      <c r="A1944" s="6">
        <f t="shared" si="30"/>
        <v>47234</v>
      </c>
    </row>
    <row r="1945" spans="1:1">
      <c r="A1945" s="6">
        <f t="shared" si="30"/>
        <v>47235</v>
      </c>
    </row>
    <row r="1946" spans="1:1">
      <c r="A1946" s="6">
        <f t="shared" si="30"/>
        <v>47236</v>
      </c>
    </row>
    <row r="1947" spans="1:1">
      <c r="A1947" s="6">
        <f t="shared" si="30"/>
        <v>47237</v>
      </c>
    </row>
    <row r="1948" spans="1:1">
      <c r="A1948" s="6">
        <f t="shared" si="30"/>
        <v>47238</v>
      </c>
    </row>
    <row r="1949" spans="1:1">
      <c r="A1949" s="6">
        <f t="shared" si="30"/>
        <v>47239</v>
      </c>
    </row>
    <row r="1950" spans="1:1">
      <c r="A1950" s="6">
        <f t="shared" si="30"/>
        <v>47240</v>
      </c>
    </row>
    <row r="1951" spans="1:1">
      <c r="A1951" s="6">
        <f t="shared" si="30"/>
        <v>47241</v>
      </c>
    </row>
    <row r="1952" spans="1:1">
      <c r="A1952" s="6">
        <f t="shared" si="30"/>
        <v>47242</v>
      </c>
    </row>
    <row r="1953" spans="1:1">
      <c r="A1953" s="6">
        <f t="shared" si="30"/>
        <v>47243</v>
      </c>
    </row>
    <row r="1954" spans="1:1">
      <c r="A1954" s="6">
        <f t="shared" si="30"/>
        <v>47244</v>
      </c>
    </row>
    <row r="1955" spans="1:1">
      <c r="A1955" s="6">
        <f t="shared" si="30"/>
        <v>47245</v>
      </c>
    </row>
    <row r="1956" spans="1:1">
      <c r="A1956" s="6">
        <f t="shared" si="30"/>
        <v>47246</v>
      </c>
    </row>
    <row r="1957" spans="1:1">
      <c r="A1957" s="6">
        <f t="shared" si="30"/>
        <v>47247</v>
      </c>
    </row>
    <row r="1958" spans="1:1">
      <c r="A1958" s="6">
        <f t="shared" si="30"/>
        <v>47248</v>
      </c>
    </row>
    <row r="1959" spans="1:1">
      <c r="A1959" s="6">
        <f t="shared" si="30"/>
        <v>47249</v>
      </c>
    </row>
    <row r="1960" spans="1:1">
      <c r="A1960" s="6">
        <f t="shared" si="30"/>
        <v>47250</v>
      </c>
    </row>
    <row r="1961" spans="1:1">
      <c r="A1961" s="6">
        <f t="shared" si="30"/>
        <v>47251</v>
      </c>
    </row>
    <row r="1962" spans="1:1">
      <c r="A1962" s="6">
        <f t="shared" si="30"/>
        <v>47252</v>
      </c>
    </row>
    <row r="1963" spans="1:1">
      <c r="A1963" s="6">
        <f t="shared" si="30"/>
        <v>47253</v>
      </c>
    </row>
    <row r="1964" spans="1:1">
      <c r="A1964" s="6">
        <f t="shared" si="30"/>
        <v>47254</v>
      </c>
    </row>
    <row r="1965" spans="1:1">
      <c r="A1965" s="6">
        <f t="shared" si="30"/>
        <v>47255</v>
      </c>
    </row>
    <row r="1966" spans="1:1">
      <c r="A1966" s="6">
        <f t="shared" si="30"/>
        <v>47256</v>
      </c>
    </row>
    <row r="1967" spans="1:1">
      <c r="A1967" s="6">
        <f t="shared" si="30"/>
        <v>47257</v>
      </c>
    </row>
    <row r="1968" spans="1:1">
      <c r="A1968" s="6">
        <f t="shared" si="30"/>
        <v>47258</v>
      </c>
    </row>
    <row r="1969" spans="1:1">
      <c r="A1969" s="6">
        <f t="shared" si="30"/>
        <v>47259</v>
      </c>
    </row>
    <row r="1970" spans="1:1">
      <c r="A1970" s="6">
        <f t="shared" si="30"/>
        <v>47260</v>
      </c>
    </row>
    <row r="1971" spans="1:1">
      <c r="A1971" s="6">
        <f t="shared" si="30"/>
        <v>47261</v>
      </c>
    </row>
    <row r="1972" spans="1:1">
      <c r="A1972" s="6">
        <f t="shared" si="30"/>
        <v>47262</v>
      </c>
    </row>
    <row r="1973" spans="1:1">
      <c r="A1973" s="6">
        <f t="shared" si="30"/>
        <v>47263</v>
      </c>
    </row>
    <row r="1974" spans="1:1">
      <c r="A1974" s="6">
        <f t="shared" si="30"/>
        <v>47264</v>
      </c>
    </row>
    <row r="1975" spans="1:1">
      <c r="A1975" s="6">
        <f t="shared" ref="A1975:A2038" si="31">A1974+1</f>
        <v>47265</v>
      </c>
    </row>
    <row r="1976" spans="1:1">
      <c r="A1976" s="6">
        <f t="shared" si="31"/>
        <v>47266</v>
      </c>
    </row>
    <row r="1977" spans="1:1">
      <c r="A1977" s="6">
        <f t="shared" si="31"/>
        <v>47267</v>
      </c>
    </row>
    <row r="1978" spans="1:1">
      <c r="A1978" s="6">
        <f t="shared" si="31"/>
        <v>47268</v>
      </c>
    </row>
    <row r="1979" spans="1:1">
      <c r="A1979" s="6">
        <f t="shared" si="31"/>
        <v>47269</v>
      </c>
    </row>
    <row r="1980" spans="1:1">
      <c r="A1980" s="6">
        <f t="shared" si="31"/>
        <v>47270</v>
      </c>
    </row>
    <row r="1981" spans="1:1">
      <c r="A1981" s="6">
        <f t="shared" si="31"/>
        <v>47271</v>
      </c>
    </row>
    <row r="1982" spans="1:1">
      <c r="A1982" s="6">
        <f t="shared" si="31"/>
        <v>47272</v>
      </c>
    </row>
    <row r="1983" spans="1:1">
      <c r="A1983" s="6">
        <f t="shared" si="31"/>
        <v>47273</v>
      </c>
    </row>
    <row r="1984" spans="1:1">
      <c r="A1984" s="6">
        <f t="shared" si="31"/>
        <v>47274</v>
      </c>
    </row>
    <row r="1985" spans="1:1">
      <c r="A1985" s="6">
        <f t="shared" si="31"/>
        <v>47275</v>
      </c>
    </row>
    <row r="1986" spans="1:1">
      <c r="A1986" s="6">
        <f t="shared" si="31"/>
        <v>47276</v>
      </c>
    </row>
    <row r="1987" spans="1:1">
      <c r="A1987" s="6">
        <f t="shared" si="31"/>
        <v>47277</v>
      </c>
    </row>
    <row r="1988" spans="1:1">
      <c r="A1988" s="6">
        <f t="shared" si="31"/>
        <v>47278</v>
      </c>
    </row>
    <row r="1989" spans="1:1">
      <c r="A1989" s="6">
        <f t="shared" si="31"/>
        <v>47279</v>
      </c>
    </row>
    <row r="1990" spans="1:1">
      <c r="A1990" s="6">
        <f t="shared" si="31"/>
        <v>47280</v>
      </c>
    </row>
    <row r="1991" spans="1:1">
      <c r="A1991" s="6">
        <f t="shared" si="31"/>
        <v>47281</v>
      </c>
    </row>
    <row r="1992" spans="1:1">
      <c r="A1992" s="6">
        <f t="shared" si="31"/>
        <v>47282</v>
      </c>
    </row>
    <row r="1993" spans="1:1">
      <c r="A1993" s="6">
        <f t="shared" si="31"/>
        <v>47283</v>
      </c>
    </row>
    <row r="1994" spans="1:1">
      <c r="A1994" s="6">
        <f t="shared" si="31"/>
        <v>47284</v>
      </c>
    </row>
    <row r="1995" spans="1:1">
      <c r="A1995" s="6">
        <f t="shared" si="31"/>
        <v>47285</v>
      </c>
    </row>
    <row r="1996" spans="1:1">
      <c r="A1996" s="6">
        <f t="shared" si="31"/>
        <v>47286</v>
      </c>
    </row>
    <row r="1997" spans="1:1">
      <c r="A1997" s="6">
        <f t="shared" si="31"/>
        <v>47287</v>
      </c>
    </row>
    <row r="1998" spans="1:1">
      <c r="A1998" s="6">
        <f t="shared" si="31"/>
        <v>47288</v>
      </c>
    </row>
    <row r="1999" spans="1:1">
      <c r="A1999" s="6">
        <f t="shared" si="31"/>
        <v>47289</v>
      </c>
    </row>
    <row r="2000" spans="1:1">
      <c r="A2000" s="6">
        <f t="shared" si="31"/>
        <v>47290</v>
      </c>
    </row>
    <row r="2001" spans="1:1">
      <c r="A2001" s="6">
        <f t="shared" si="31"/>
        <v>47291</v>
      </c>
    </row>
    <row r="2002" spans="1:1">
      <c r="A2002" s="6">
        <f t="shared" si="31"/>
        <v>47292</v>
      </c>
    </row>
    <row r="2003" spans="1:1">
      <c r="A2003" s="6">
        <f t="shared" si="31"/>
        <v>47293</v>
      </c>
    </row>
    <row r="2004" spans="1:1">
      <c r="A2004" s="6">
        <f t="shared" si="31"/>
        <v>47294</v>
      </c>
    </row>
    <row r="2005" spans="1:1">
      <c r="A2005" s="6">
        <f t="shared" si="31"/>
        <v>47295</v>
      </c>
    </row>
    <row r="2006" spans="1:1">
      <c r="A2006" s="6">
        <f t="shared" si="31"/>
        <v>47296</v>
      </c>
    </row>
    <row r="2007" spans="1:1">
      <c r="A2007" s="6">
        <f t="shared" si="31"/>
        <v>47297</v>
      </c>
    </row>
    <row r="2008" spans="1:1">
      <c r="A2008" s="6">
        <f t="shared" si="31"/>
        <v>47298</v>
      </c>
    </row>
    <row r="2009" spans="1:1">
      <c r="A2009" s="6">
        <f t="shared" si="31"/>
        <v>47299</v>
      </c>
    </row>
    <row r="2010" spans="1:1">
      <c r="A2010" s="6">
        <f t="shared" si="31"/>
        <v>47300</v>
      </c>
    </row>
    <row r="2011" spans="1:1">
      <c r="A2011" s="6">
        <f t="shared" si="31"/>
        <v>47301</v>
      </c>
    </row>
    <row r="2012" spans="1:1">
      <c r="A2012" s="6">
        <f t="shared" si="31"/>
        <v>47302</v>
      </c>
    </row>
    <row r="2013" spans="1:1">
      <c r="A2013" s="6">
        <f t="shared" si="31"/>
        <v>47303</v>
      </c>
    </row>
    <row r="2014" spans="1:1">
      <c r="A2014" s="6">
        <f t="shared" si="31"/>
        <v>47304</v>
      </c>
    </row>
    <row r="2015" spans="1:1">
      <c r="A2015" s="6">
        <f t="shared" si="31"/>
        <v>47305</v>
      </c>
    </row>
    <row r="2016" spans="1:1">
      <c r="A2016" s="6">
        <f t="shared" si="31"/>
        <v>47306</v>
      </c>
    </row>
    <row r="2017" spans="1:1">
      <c r="A2017" s="6">
        <f t="shared" si="31"/>
        <v>47307</v>
      </c>
    </row>
    <row r="2018" spans="1:1">
      <c r="A2018" s="6">
        <f t="shared" si="31"/>
        <v>47308</v>
      </c>
    </row>
    <row r="2019" spans="1:1">
      <c r="A2019" s="6">
        <f t="shared" si="31"/>
        <v>47309</v>
      </c>
    </row>
    <row r="2020" spans="1:1">
      <c r="A2020" s="6">
        <f t="shared" si="31"/>
        <v>47310</v>
      </c>
    </row>
    <row r="2021" spans="1:1">
      <c r="A2021" s="6">
        <f t="shared" si="31"/>
        <v>47311</v>
      </c>
    </row>
    <row r="2022" spans="1:1">
      <c r="A2022" s="6">
        <f t="shared" si="31"/>
        <v>47312</v>
      </c>
    </row>
    <row r="2023" spans="1:1">
      <c r="A2023" s="6">
        <f t="shared" si="31"/>
        <v>47313</v>
      </c>
    </row>
    <row r="2024" spans="1:1">
      <c r="A2024" s="6">
        <f t="shared" si="31"/>
        <v>47314</v>
      </c>
    </row>
    <row r="2025" spans="1:1">
      <c r="A2025" s="6">
        <f t="shared" si="31"/>
        <v>47315</v>
      </c>
    </row>
    <row r="2026" spans="1:1">
      <c r="A2026" s="6">
        <f t="shared" si="31"/>
        <v>47316</v>
      </c>
    </row>
    <row r="2027" spans="1:1">
      <c r="A2027" s="6">
        <f t="shared" si="31"/>
        <v>47317</v>
      </c>
    </row>
    <row r="2028" spans="1:1">
      <c r="A2028" s="6">
        <f t="shared" si="31"/>
        <v>47318</v>
      </c>
    </row>
    <row r="2029" spans="1:1">
      <c r="A2029" s="6">
        <f t="shared" si="31"/>
        <v>47319</v>
      </c>
    </row>
    <row r="2030" spans="1:1">
      <c r="A2030" s="6">
        <f t="shared" si="31"/>
        <v>47320</v>
      </c>
    </row>
    <row r="2031" spans="1:1">
      <c r="A2031" s="6">
        <f t="shared" si="31"/>
        <v>47321</v>
      </c>
    </row>
    <row r="2032" spans="1:1">
      <c r="A2032" s="6">
        <f t="shared" si="31"/>
        <v>47322</v>
      </c>
    </row>
    <row r="2033" spans="1:1">
      <c r="A2033" s="6">
        <f t="shared" si="31"/>
        <v>47323</v>
      </c>
    </row>
    <row r="2034" spans="1:1">
      <c r="A2034" s="6">
        <f t="shared" si="31"/>
        <v>47324</v>
      </c>
    </row>
    <row r="2035" spans="1:1">
      <c r="A2035" s="6">
        <f t="shared" si="31"/>
        <v>47325</v>
      </c>
    </row>
    <row r="2036" spans="1:1">
      <c r="A2036" s="6">
        <f t="shared" si="31"/>
        <v>47326</v>
      </c>
    </row>
    <row r="2037" spans="1:1">
      <c r="A2037" s="6">
        <f t="shared" si="31"/>
        <v>47327</v>
      </c>
    </row>
    <row r="2038" spans="1:1">
      <c r="A2038" s="6">
        <f t="shared" si="31"/>
        <v>47328</v>
      </c>
    </row>
    <row r="2039" spans="1:1">
      <c r="A2039" s="6">
        <f t="shared" ref="A2039:A2102" si="32">A2038+1</f>
        <v>47329</v>
      </c>
    </row>
    <row r="2040" spans="1:1">
      <c r="A2040" s="6">
        <f t="shared" si="32"/>
        <v>47330</v>
      </c>
    </row>
    <row r="2041" spans="1:1">
      <c r="A2041" s="6">
        <f t="shared" si="32"/>
        <v>47331</v>
      </c>
    </row>
    <row r="2042" spans="1:1">
      <c r="A2042" s="6">
        <f t="shared" si="32"/>
        <v>47332</v>
      </c>
    </row>
    <row r="2043" spans="1:1">
      <c r="A2043" s="6">
        <f t="shared" si="32"/>
        <v>47333</v>
      </c>
    </row>
    <row r="2044" spans="1:1">
      <c r="A2044" s="6">
        <f t="shared" si="32"/>
        <v>47334</v>
      </c>
    </row>
    <row r="2045" spans="1:1">
      <c r="A2045" s="6">
        <f t="shared" si="32"/>
        <v>47335</v>
      </c>
    </row>
    <row r="2046" spans="1:1">
      <c r="A2046" s="6">
        <f t="shared" si="32"/>
        <v>47336</v>
      </c>
    </row>
    <row r="2047" spans="1:1">
      <c r="A2047" s="6">
        <f t="shared" si="32"/>
        <v>47337</v>
      </c>
    </row>
    <row r="2048" spans="1:1">
      <c r="A2048" s="6">
        <f t="shared" si="32"/>
        <v>47338</v>
      </c>
    </row>
    <row r="2049" spans="1:1">
      <c r="A2049" s="6">
        <f t="shared" si="32"/>
        <v>47339</v>
      </c>
    </row>
    <row r="2050" spans="1:1">
      <c r="A2050" s="6">
        <f t="shared" si="32"/>
        <v>47340</v>
      </c>
    </row>
    <row r="2051" spans="1:1">
      <c r="A2051" s="6">
        <f t="shared" si="32"/>
        <v>47341</v>
      </c>
    </row>
    <row r="2052" spans="1:1">
      <c r="A2052" s="6">
        <f t="shared" si="32"/>
        <v>47342</v>
      </c>
    </row>
    <row r="2053" spans="1:1">
      <c r="A2053" s="6">
        <f t="shared" si="32"/>
        <v>47343</v>
      </c>
    </row>
    <row r="2054" spans="1:1">
      <c r="A2054" s="6">
        <f t="shared" si="32"/>
        <v>47344</v>
      </c>
    </row>
    <row r="2055" spans="1:1">
      <c r="A2055" s="6">
        <f t="shared" si="32"/>
        <v>47345</v>
      </c>
    </row>
    <row r="2056" spans="1:1">
      <c r="A2056" s="6">
        <f t="shared" si="32"/>
        <v>47346</v>
      </c>
    </row>
    <row r="2057" spans="1:1">
      <c r="A2057" s="6">
        <f t="shared" si="32"/>
        <v>47347</v>
      </c>
    </row>
    <row r="2058" spans="1:1">
      <c r="A2058" s="6">
        <f t="shared" si="32"/>
        <v>47348</v>
      </c>
    </row>
    <row r="2059" spans="1:1">
      <c r="A2059" s="6">
        <f t="shared" si="32"/>
        <v>47349</v>
      </c>
    </row>
    <row r="2060" spans="1:1">
      <c r="A2060" s="6">
        <f t="shared" si="32"/>
        <v>47350</v>
      </c>
    </row>
    <row r="2061" spans="1:1">
      <c r="A2061" s="6">
        <f t="shared" si="32"/>
        <v>47351</v>
      </c>
    </row>
    <row r="2062" spans="1:1">
      <c r="A2062" s="6">
        <f t="shared" si="32"/>
        <v>47352</v>
      </c>
    </row>
    <row r="2063" spans="1:1">
      <c r="A2063" s="6">
        <f t="shared" si="32"/>
        <v>47353</v>
      </c>
    </row>
    <row r="2064" spans="1:1">
      <c r="A2064" s="6">
        <f t="shared" si="32"/>
        <v>47354</v>
      </c>
    </row>
    <row r="2065" spans="1:1">
      <c r="A2065" s="6">
        <f t="shared" si="32"/>
        <v>47355</v>
      </c>
    </row>
    <row r="2066" spans="1:1">
      <c r="A2066" s="6">
        <f t="shared" si="32"/>
        <v>47356</v>
      </c>
    </row>
    <row r="2067" spans="1:1">
      <c r="A2067" s="6">
        <f t="shared" si="32"/>
        <v>47357</v>
      </c>
    </row>
    <row r="2068" spans="1:1">
      <c r="A2068" s="6">
        <f t="shared" si="32"/>
        <v>47358</v>
      </c>
    </row>
    <row r="2069" spans="1:1">
      <c r="A2069" s="6">
        <f t="shared" si="32"/>
        <v>47359</v>
      </c>
    </row>
    <row r="2070" spans="1:1">
      <c r="A2070" s="6">
        <f t="shared" si="32"/>
        <v>47360</v>
      </c>
    </row>
    <row r="2071" spans="1:1">
      <c r="A2071" s="6">
        <f t="shared" si="32"/>
        <v>47361</v>
      </c>
    </row>
    <row r="2072" spans="1:1">
      <c r="A2072" s="6">
        <f t="shared" si="32"/>
        <v>47362</v>
      </c>
    </row>
    <row r="2073" spans="1:1">
      <c r="A2073" s="6">
        <f t="shared" si="32"/>
        <v>47363</v>
      </c>
    </row>
    <row r="2074" spans="1:1">
      <c r="A2074" s="6">
        <f t="shared" si="32"/>
        <v>47364</v>
      </c>
    </row>
    <row r="2075" spans="1:1">
      <c r="A2075" s="6">
        <f t="shared" si="32"/>
        <v>47365</v>
      </c>
    </row>
    <row r="2076" spans="1:1">
      <c r="A2076" s="6">
        <f t="shared" si="32"/>
        <v>47366</v>
      </c>
    </row>
    <row r="2077" spans="1:1">
      <c r="A2077" s="6">
        <f t="shared" si="32"/>
        <v>47367</v>
      </c>
    </row>
    <row r="2078" spans="1:1">
      <c r="A2078" s="6">
        <f t="shared" si="32"/>
        <v>47368</v>
      </c>
    </row>
    <row r="2079" spans="1:1">
      <c r="A2079" s="6">
        <f t="shared" si="32"/>
        <v>47369</v>
      </c>
    </row>
    <row r="2080" spans="1:1">
      <c r="A2080" s="6">
        <f t="shared" si="32"/>
        <v>47370</v>
      </c>
    </row>
    <row r="2081" spans="1:1">
      <c r="A2081" s="6">
        <f t="shared" si="32"/>
        <v>47371</v>
      </c>
    </row>
    <row r="2082" spans="1:1">
      <c r="A2082" s="6">
        <f t="shared" si="32"/>
        <v>47372</v>
      </c>
    </row>
    <row r="2083" spans="1:1">
      <c r="A2083" s="6">
        <f t="shared" si="32"/>
        <v>47373</v>
      </c>
    </row>
    <row r="2084" spans="1:1">
      <c r="A2084" s="6">
        <f t="shared" si="32"/>
        <v>47374</v>
      </c>
    </row>
    <row r="2085" spans="1:1">
      <c r="A2085" s="6">
        <f t="shared" si="32"/>
        <v>47375</v>
      </c>
    </row>
    <row r="2086" spans="1:1">
      <c r="A2086" s="6">
        <f t="shared" si="32"/>
        <v>47376</v>
      </c>
    </row>
    <row r="2087" spans="1:1">
      <c r="A2087" s="6">
        <f t="shared" si="32"/>
        <v>47377</v>
      </c>
    </row>
    <row r="2088" spans="1:1">
      <c r="A2088" s="6">
        <f t="shared" si="32"/>
        <v>47378</v>
      </c>
    </row>
    <row r="2089" spans="1:1">
      <c r="A2089" s="6">
        <f t="shared" si="32"/>
        <v>47379</v>
      </c>
    </row>
    <row r="2090" spans="1:1">
      <c r="A2090" s="6">
        <f t="shared" si="32"/>
        <v>47380</v>
      </c>
    </row>
    <row r="2091" spans="1:1">
      <c r="A2091" s="6">
        <f t="shared" si="32"/>
        <v>47381</v>
      </c>
    </row>
    <row r="2092" spans="1:1">
      <c r="A2092" s="6">
        <f t="shared" si="32"/>
        <v>47382</v>
      </c>
    </row>
    <row r="2093" spans="1:1">
      <c r="A2093" s="6">
        <f t="shared" si="32"/>
        <v>47383</v>
      </c>
    </row>
    <row r="2094" spans="1:1">
      <c r="A2094" s="6">
        <f t="shared" si="32"/>
        <v>47384</v>
      </c>
    </row>
    <row r="2095" spans="1:1">
      <c r="A2095" s="6">
        <f t="shared" si="32"/>
        <v>47385</v>
      </c>
    </row>
    <row r="2096" spans="1:1">
      <c r="A2096" s="6">
        <f t="shared" si="32"/>
        <v>47386</v>
      </c>
    </row>
    <row r="2097" spans="1:1">
      <c r="A2097" s="6">
        <f t="shared" si="32"/>
        <v>47387</v>
      </c>
    </row>
    <row r="2098" spans="1:1">
      <c r="A2098" s="6">
        <f t="shared" si="32"/>
        <v>47388</v>
      </c>
    </row>
    <row r="2099" spans="1:1">
      <c r="A2099" s="6">
        <f t="shared" si="32"/>
        <v>47389</v>
      </c>
    </row>
    <row r="2100" spans="1:1">
      <c r="A2100" s="6">
        <f t="shared" si="32"/>
        <v>47390</v>
      </c>
    </row>
    <row r="2101" spans="1:1">
      <c r="A2101" s="6">
        <f t="shared" si="32"/>
        <v>47391</v>
      </c>
    </row>
    <row r="2102" spans="1:1">
      <c r="A2102" s="6">
        <f t="shared" si="32"/>
        <v>47392</v>
      </c>
    </row>
    <row r="2103" spans="1:1">
      <c r="A2103" s="6">
        <f t="shared" ref="A2103:A2166" si="33">A2102+1</f>
        <v>47393</v>
      </c>
    </row>
    <row r="2104" spans="1:1">
      <c r="A2104" s="6">
        <f t="shared" si="33"/>
        <v>47394</v>
      </c>
    </row>
    <row r="2105" spans="1:1">
      <c r="A2105" s="6">
        <f t="shared" si="33"/>
        <v>47395</v>
      </c>
    </row>
    <row r="2106" spans="1:1">
      <c r="A2106" s="6">
        <f t="shared" si="33"/>
        <v>47396</v>
      </c>
    </row>
    <row r="2107" spans="1:1">
      <c r="A2107" s="6">
        <f t="shared" si="33"/>
        <v>47397</v>
      </c>
    </row>
    <row r="2108" spans="1:1">
      <c r="A2108" s="6">
        <f t="shared" si="33"/>
        <v>47398</v>
      </c>
    </row>
    <row r="2109" spans="1:1">
      <c r="A2109" s="6">
        <f t="shared" si="33"/>
        <v>47399</v>
      </c>
    </row>
    <row r="2110" spans="1:1">
      <c r="A2110" s="6">
        <f t="shared" si="33"/>
        <v>47400</v>
      </c>
    </row>
    <row r="2111" spans="1:1">
      <c r="A2111" s="6">
        <f t="shared" si="33"/>
        <v>47401</v>
      </c>
    </row>
    <row r="2112" spans="1:1">
      <c r="A2112" s="6">
        <f t="shared" si="33"/>
        <v>47402</v>
      </c>
    </row>
    <row r="2113" spans="1:1">
      <c r="A2113" s="6">
        <f t="shared" si="33"/>
        <v>47403</v>
      </c>
    </row>
    <row r="2114" spans="1:1">
      <c r="A2114" s="6">
        <f t="shared" si="33"/>
        <v>47404</v>
      </c>
    </row>
    <row r="2115" spans="1:1">
      <c r="A2115" s="6">
        <f t="shared" si="33"/>
        <v>47405</v>
      </c>
    </row>
    <row r="2116" spans="1:1">
      <c r="A2116" s="6">
        <f t="shared" si="33"/>
        <v>47406</v>
      </c>
    </row>
    <row r="2117" spans="1:1">
      <c r="A2117" s="6">
        <f t="shared" si="33"/>
        <v>47407</v>
      </c>
    </row>
    <row r="2118" spans="1:1">
      <c r="A2118" s="6">
        <f t="shared" si="33"/>
        <v>47408</v>
      </c>
    </row>
    <row r="2119" spans="1:1">
      <c r="A2119" s="6">
        <f t="shared" si="33"/>
        <v>47409</v>
      </c>
    </row>
    <row r="2120" spans="1:1">
      <c r="A2120" s="6">
        <f t="shared" si="33"/>
        <v>47410</v>
      </c>
    </row>
    <row r="2121" spans="1:1">
      <c r="A2121" s="6">
        <f t="shared" si="33"/>
        <v>47411</v>
      </c>
    </row>
    <row r="2122" spans="1:1">
      <c r="A2122" s="6">
        <f t="shared" si="33"/>
        <v>47412</v>
      </c>
    </row>
    <row r="2123" spans="1:1">
      <c r="A2123" s="6">
        <f t="shared" si="33"/>
        <v>47413</v>
      </c>
    </row>
    <row r="2124" spans="1:1">
      <c r="A2124" s="6">
        <f t="shared" si="33"/>
        <v>47414</v>
      </c>
    </row>
    <row r="2125" spans="1:1">
      <c r="A2125" s="6">
        <f t="shared" si="33"/>
        <v>47415</v>
      </c>
    </row>
    <row r="2126" spans="1:1">
      <c r="A2126" s="6">
        <f t="shared" si="33"/>
        <v>47416</v>
      </c>
    </row>
    <row r="2127" spans="1:1">
      <c r="A2127" s="6">
        <f t="shared" si="33"/>
        <v>47417</v>
      </c>
    </row>
    <row r="2128" spans="1:1">
      <c r="A2128" s="6">
        <f t="shared" si="33"/>
        <v>47418</v>
      </c>
    </row>
    <row r="2129" spans="1:1">
      <c r="A2129" s="6">
        <f t="shared" si="33"/>
        <v>47419</v>
      </c>
    </row>
    <row r="2130" spans="1:1">
      <c r="A2130" s="6">
        <f t="shared" si="33"/>
        <v>47420</v>
      </c>
    </row>
    <row r="2131" spans="1:1">
      <c r="A2131" s="6">
        <f t="shared" si="33"/>
        <v>47421</v>
      </c>
    </row>
    <row r="2132" spans="1:1">
      <c r="A2132" s="6">
        <f t="shared" si="33"/>
        <v>47422</v>
      </c>
    </row>
    <row r="2133" spans="1:1">
      <c r="A2133" s="6">
        <f t="shared" si="33"/>
        <v>47423</v>
      </c>
    </row>
    <row r="2134" spans="1:1">
      <c r="A2134" s="6">
        <f t="shared" si="33"/>
        <v>47424</v>
      </c>
    </row>
    <row r="2135" spans="1:1">
      <c r="A2135" s="6">
        <f t="shared" si="33"/>
        <v>47425</v>
      </c>
    </row>
    <row r="2136" spans="1:1">
      <c r="A2136" s="6">
        <f t="shared" si="33"/>
        <v>47426</v>
      </c>
    </row>
    <row r="2137" spans="1:1">
      <c r="A2137" s="6">
        <f t="shared" si="33"/>
        <v>47427</v>
      </c>
    </row>
    <row r="2138" spans="1:1">
      <c r="A2138" s="6">
        <f t="shared" si="33"/>
        <v>47428</v>
      </c>
    </row>
    <row r="2139" spans="1:1">
      <c r="A2139" s="6">
        <f t="shared" si="33"/>
        <v>47429</v>
      </c>
    </row>
    <row r="2140" spans="1:1">
      <c r="A2140" s="6">
        <f t="shared" si="33"/>
        <v>47430</v>
      </c>
    </row>
    <row r="2141" spans="1:1">
      <c r="A2141" s="6">
        <f t="shared" si="33"/>
        <v>47431</v>
      </c>
    </row>
    <row r="2142" spans="1:1">
      <c r="A2142" s="6">
        <f t="shared" si="33"/>
        <v>47432</v>
      </c>
    </row>
    <row r="2143" spans="1:1">
      <c r="A2143" s="6">
        <f t="shared" si="33"/>
        <v>47433</v>
      </c>
    </row>
    <row r="2144" spans="1:1">
      <c r="A2144" s="6">
        <f t="shared" si="33"/>
        <v>47434</v>
      </c>
    </row>
    <row r="2145" spans="1:1">
      <c r="A2145" s="6">
        <f t="shared" si="33"/>
        <v>47435</v>
      </c>
    </row>
    <row r="2146" spans="1:1">
      <c r="A2146" s="6">
        <f t="shared" si="33"/>
        <v>47436</v>
      </c>
    </row>
    <row r="2147" spans="1:1">
      <c r="A2147" s="6">
        <f t="shared" si="33"/>
        <v>47437</v>
      </c>
    </row>
    <row r="2148" spans="1:1">
      <c r="A2148" s="6">
        <f t="shared" si="33"/>
        <v>47438</v>
      </c>
    </row>
    <row r="2149" spans="1:1">
      <c r="A2149" s="6">
        <f t="shared" si="33"/>
        <v>47439</v>
      </c>
    </row>
    <row r="2150" spans="1:1">
      <c r="A2150" s="6">
        <f t="shared" si="33"/>
        <v>47440</v>
      </c>
    </row>
    <row r="2151" spans="1:1">
      <c r="A2151" s="6">
        <f t="shared" si="33"/>
        <v>47441</v>
      </c>
    </row>
    <row r="2152" spans="1:1">
      <c r="A2152" s="6">
        <f t="shared" si="33"/>
        <v>47442</v>
      </c>
    </row>
    <row r="2153" spans="1:1">
      <c r="A2153" s="6">
        <f t="shared" si="33"/>
        <v>47443</v>
      </c>
    </row>
    <row r="2154" spans="1:1">
      <c r="A2154" s="6">
        <f t="shared" si="33"/>
        <v>47444</v>
      </c>
    </row>
    <row r="2155" spans="1:1">
      <c r="A2155" s="6">
        <f t="shared" si="33"/>
        <v>47445</v>
      </c>
    </row>
    <row r="2156" spans="1:1">
      <c r="A2156" s="6">
        <f t="shared" si="33"/>
        <v>47446</v>
      </c>
    </row>
    <row r="2157" spans="1:1">
      <c r="A2157" s="6">
        <f t="shared" si="33"/>
        <v>47447</v>
      </c>
    </row>
    <row r="2158" spans="1:1">
      <c r="A2158" s="6">
        <f t="shared" si="33"/>
        <v>47448</v>
      </c>
    </row>
    <row r="2159" spans="1:1">
      <c r="A2159" s="6">
        <f t="shared" si="33"/>
        <v>47449</v>
      </c>
    </row>
    <row r="2160" spans="1:1">
      <c r="A2160" s="6">
        <f t="shared" si="33"/>
        <v>47450</v>
      </c>
    </row>
    <row r="2161" spans="1:1">
      <c r="A2161" s="6">
        <f t="shared" si="33"/>
        <v>47451</v>
      </c>
    </row>
    <row r="2162" spans="1:1">
      <c r="A2162" s="6">
        <f t="shared" si="33"/>
        <v>47452</v>
      </c>
    </row>
    <row r="2163" spans="1:1">
      <c r="A2163" s="6">
        <f t="shared" si="33"/>
        <v>47453</v>
      </c>
    </row>
    <row r="2164" spans="1:1">
      <c r="A2164" s="6">
        <f t="shared" si="33"/>
        <v>47454</v>
      </c>
    </row>
    <row r="2165" spans="1:1">
      <c r="A2165" s="6">
        <f t="shared" si="33"/>
        <v>47455</v>
      </c>
    </row>
    <row r="2166" spans="1:1">
      <c r="A2166" s="6">
        <f t="shared" si="33"/>
        <v>47456</v>
      </c>
    </row>
    <row r="2167" spans="1:1">
      <c r="A2167" s="6">
        <f t="shared" ref="A2167:A2230" si="34">A2166+1</f>
        <v>47457</v>
      </c>
    </row>
    <row r="2168" spans="1:1">
      <c r="A2168" s="6">
        <f t="shared" si="34"/>
        <v>47458</v>
      </c>
    </row>
    <row r="2169" spans="1:1">
      <c r="A2169" s="6">
        <f t="shared" si="34"/>
        <v>47459</v>
      </c>
    </row>
    <row r="2170" spans="1:1">
      <c r="A2170" s="6">
        <f t="shared" si="34"/>
        <v>47460</v>
      </c>
    </row>
    <row r="2171" spans="1:1">
      <c r="A2171" s="6">
        <f t="shared" si="34"/>
        <v>47461</v>
      </c>
    </row>
    <row r="2172" spans="1:1">
      <c r="A2172" s="6">
        <f t="shared" si="34"/>
        <v>47462</v>
      </c>
    </row>
    <row r="2173" spans="1:1">
      <c r="A2173" s="6">
        <f t="shared" si="34"/>
        <v>47463</v>
      </c>
    </row>
    <row r="2174" spans="1:1">
      <c r="A2174" s="6">
        <f t="shared" si="34"/>
        <v>47464</v>
      </c>
    </row>
    <row r="2175" spans="1:1">
      <c r="A2175" s="6">
        <f t="shared" si="34"/>
        <v>47465</v>
      </c>
    </row>
    <row r="2176" spans="1:1">
      <c r="A2176" s="6">
        <f t="shared" si="34"/>
        <v>47466</v>
      </c>
    </row>
    <row r="2177" spans="1:1">
      <c r="A2177" s="6">
        <f t="shared" si="34"/>
        <v>47467</v>
      </c>
    </row>
    <row r="2178" spans="1:1">
      <c r="A2178" s="6">
        <f t="shared" si="34"/>
        <v>47468</v>
      </c>
    </row>
    <row r="2179" spans="1:1">
      <c r="A2179" s="6">
        <f t="shared" si="34"/>
        <v>47469</v>
      </c>
    </row>
    <row r="2180" spans="1:1">
      <c r="A2180" s="6">
        <f t="shared" si="34"/>
        <v>47470</v>
      </c>
    </row>
    <row r="2181" spans="1:1">
      <c r="A2181" s="6">
        <f t="shared" si="34"/>
        <v>47471</v>
      </c>
    </row>
    <row r="2182" spans="1:1">
      <c r="A2182" s="6">
        <f t="shared" si="34"/>
        <v>47472</v>
      </c>
    </row>
    <row r="2183" spans="1:1">
      <c r="A2183" s="6">
        <f t="shared" si="34"/>
        <v>47473</v>
      </c>
    </row>
    <row r="2184" spans="1:1">
      <c r="A2184" s="6">
        <f t="shared" si="34"/>
        <v>47474</v>
      </c>
    </row>
    <row r="2185" spans="1:1">
      <c r="A2185" s="6">
        <f t="shared" si="34"/>
        <v>47475</v>
      </c>
    </row>
    <row r="2186" spans="1:1">
      <c r="A2186" s="6">
        <f t="shared" si="34"/>
        <v>47476</v>
      </c>
    </row>
    <row r="2187" spans="1:1">
      <c r="A2187" s="6">
        <f t="shared" si="34"/>
        <v>47477</v>
      </c>
    </row>
    <row r="2188" spans="1:1">
      <c r="A2188" s="6">
        <f t="shared" si="34"/>
        <v>47478</v>
      </c>
    </row>
    <row r="2189" spans="1:1">
      <c r="A2189" s="6">
        <f t="shared" si="34"/>
        <v>47479</v>
      </c>
    </row>
    <row r="2190" spans="1:1">
      <c r="A2190" s="6">
        <f t="shared" si="34"/>
        <v>47480</v>
      </c>
    </row>
    <row r="2191" spans="1:1">
      <c r="A2191" s="6">
        <f t="shared" si="34"/>
        <v>47481</v>
      </c>
    </row>
    <row r="2192" spans="1:1">
      <c r="A2192" s="6">
        <f t="shared" si="34"/>
        <v>47482</v>
      </c>
    </row>
    <row r="2193" spans="1:1">
      <c r="A2193" s="6">
        <f t="shared" si="34"/>
        <v>47483</v>
      </c>
    </row>
    <row r="2194" spans="1:1">
      <c r="A2194" s="6">
        <f t="shared" si="34"/>
        <v>47484</v>
      </c>
    </row>
    <row r="2195" spans="1:1">
      <c r="A2195" s="6">
        <f t="shared" si="34"/>
        <v>47485</v>
      </c>
    </row>
    <row r="2196" spans="1:1">
      <c r="A2196" s="6">
        <f t="shared" si="34"/>
        <v>47486</v>
      </c>
    </row>
    <row r="2197" spans="1:1">
      <c r="A2197" s="6">
        <f t="shared" si="34"/>
        <v>47487</v>
      </c>
    </row>
    <row r="2198" spans="1:1">
      <c r="A2198" s="6">
        <f t="shared" si="34"/>
        <v>47488</v>
      </c>
    </row>
    <row r="2199" spans="1:1">
      <c r="A2199" s="6">
        <f t="shared" si="34"/>
        <v>47489</v>
      </c>
    </row>
    <row r="2200" spans="1:1">
      <c r="A2200" s="6">
        <f t="shared" si="34"/>
        <v>47490</v>
      </c>
    </row>
    <row r="2201" spans="1:1">
      <c r="A2201" s="6">
        <f t="shared" si="34"/>
        <v>47491</v>
      </c>
    </row>
    <row r="2202" spans="1:1">
      <c r="A2202" s="6">
        <f t="shared" si="34"/>
        <v>47492</v>
      </c>
    </row>
    <row r="2203" spans="1:1">
      <c r="A2203" s="6">
        <f t="shared" si="34"/>
        <v>47493</v>
      </c>
    </row>
    <row r="2204" spans="1:1">
      <c r="A2204" s="6">
        <f t="shared" si="34"/>
        <v>47494</v>
      </c>
    </row>
    <row r="2205" spans="1:1">
      <c r="A2205" s="6">
        <f t="shared" si="34"/>
        <v>47495</v>
      </c>
    </row>
    <row r="2206" spans="1:1">
      <c r="A2206" s="6">
        <f t="shared" si="34"/>
        <v>47496</v>
      </c>
    </row>
    <row r="2207" spans="1:1">
      <c r="A2207" s="6">
        <f t="shared" si="34"/>
        <v>47497</v>
      </c>
    </row>
    <row r="2208" spans="1:1">
      <c r="A2208" s="6">
        <f t="shared" si="34"/>
        <v>47498</v>
      </c>
    </row>
    <row r="2209" spans="1:1">
      <c r="A2209" s="6">
        <f t="shared" si="34"/>
        <v>47499</v>
      </c>
    </row>
    <row r="2210" spans="1:1">
      <c r="A2210" s="6">
        <f t="shared" si="34"/>
        <v>47500</v>
      </c>
    </row>
    <row r="2211" spans="1:1">
      <c r="A2211" s="6">
        <f t="shared" si="34"/>
        <v>47501</v>
      </c>
    </row>
    <row r="2212" spans="1:1">
      <c r="A2212" s="6">
        <f t="shared" si="34"/>
        <v>47502</v>
      </c>
    </row>
    <row r="2213" spans="1:1">
      <c r="A2213" s="6">
        <f t="shared" si="34"/>
        <v>47503</v>
      </c>
    </row>
    <row r="2214" spans="1:1">
      <c r="A2214" s="6">
        <f t="shared" si="34"/>
        <v>47504</v>
      </c>
    </row>
    <row r="2215" spans="1:1">
      <c r="A2215" s="6">
        <f t="shared" si="34"/>
        <v>47505</v>
      </c>
    </row>
    <row r="2216" spans="1:1">
      <c r="A2216" s="6">
        <f t="shared" si="34"/>
        <v>47506</v>
      </c>
    </row>
    <row r="2217" spans="1:1">
      <c r="A2217" s="6">
        <f t="shared" si="34"/>
        <v>47507</v>
      </c>
    </row>
    <row r="2218" spans="1:1">
      <c r="A2218" s="6">
        <f t="shared" si="34"/>
        <v>47508</v>
      </c>
    </row>
    <row r="2219" spans="1:1">
      <c r="A2219" s="6">
        <f t="shared" si="34"/>
        <v>47509</v>
      </c>
    </row>
    <row r="2220" spans="1:1">
      <c r="A2220" s="6">
        <f t="shared" si="34"/>
        <v>47510</v>
      </c>
    </row>
    <row r="2221" spans="1:1">
      <c r="A2221" s="6">
        <f t="shared" si="34"/>
        <v>47511</v>
      </c>
    </row>
    <row r="2222" spans="1:1">
      <c r="A2222" s="6">
        <f t="shared" si="34"/>
        <v>47512</v>
      </c>
    </row>
    <row r="2223" spans="1:1">
      <c r="A2223" s="6">
        <f t="shared" si="34"/>
        <v>47513</v>
      </c>
    </row>
    <row r="2224" spans="1:1">
      <c r="A2224" s="6">
        <f t="shared" si="34"/>
        <v>47514</v>
      </c>
    </row>
    <row r="2225" spans="1:1">
      <c r="A2225" s="6">
        <f t="shared" si="34"/>
        <v>47515</v>
      </c>
    </row>
    <row r="2226" spans="1:1">
      <c r="A2226" s="6">
        <f t="shared" si="34"/>
        <v>47516</v>
      </c>
    </row>
    <row r="2227" spans="1:1">
      <c r="A2227" s="6">
        <f t="shared" si="34"/>
        <v>47517</v>
      </c>
    </row>
    <row r="2228" spans="1:1">
      <c r="A2228" s="6">
        <f t="shared" si="34"/>
        <v>47518</v>
      </c>
    </row>
    <row r="2229" spans="1:1">
      <c r="A2229" s="6">
        <f t="shared" si="34"/>
        <v>47519</v>
      </c>
    </row>
    <row r="2230" spans="1:1">
      <c r="A2230" s="6">
        <f t="shared" si="34"/>
        <v>47520</v>
      </c>
    </row>
    <row r="2231" spans="1:1">
      <c r="A2231" s="6">
        <f t="shared" ref="A2231:A2294" si="35">A2230+1</f>
        <v>47521</v>
      </c>
    </row>
    <row r="2232" spans="1:1">
      <c r="A2232" s="6">
        <f t="shared" si="35"/>
        <v>47522</v>
      </c>
    </row>
    <row r="2233" spans="1:1">
      <c r="A2233" s="6">
        <f t="shared" si="35"/>
        <v>47523</v>
      </c>
    </row>
    <row r="2234" spans="1:1">
      <c r="A2234" s="6">
        <f t="shared" si="35"/>
        <v>47524</v>
      </c>
    </row>
    <row r="2235" spans="1:1">
      <c r="A2235" s="6">
        <f t="shared" si="35"/>
        <v>47525</v>
      </c>
    </row>
    <row r="2236" spans="1:1">
      <c r="A2236" s="6">
        <f t="shared" si="35"/>
        <v>47526</v>
      </c>
    </row>
    <row r="2237" spans="1:1">
      <c r="A2237" s="6">
        <f t="shared" si="35"/>
        <v>47527</v>
      </c>
    </row>
    <row r="2238" spans="1:1">
      <c r="A2238" s="6">
        <f t="shared" si="35"/>
        <v>47528</v>
      </c>
    </row>
    <row r="2239" spans="1:1">
      <c r="A2239" s="6">
        <f t="shared" si="35"/>
        <v>47529</v>
      </c>
    </row>
    <row r="2240" spans="1:1">
      <c r="A2240" s="6">
        <f t="shared" si="35"/>
        <v>47530</v>
      </c>
    </row>
    <row r="2241" spans="1:1">
      <c r="A2241" s="6">
        <f t="shared" si="35"/>
        <v>47531</v>
      </c>
    </row>
    <row r="2242" spans="1:1">
      <c r="A2242" s="6">
        <f t="shared" si="35"/>
        <v>47532</v>
      </c>
    </row>
    <row r="2243" spans="1:1">
      <c r="A2243" s="6">
        <f t="shared" si="35"/>
        <v>47533</v>
      </c>
    </row>
    <row r="2244" spans="1:1">
      <c r="A2244" s="6">
        <f t="shared" si="35"/>
        <v>47534</v>
      </c>
    </row>
    <row r="2245" spans="1:1">
      <c r="A2245" s="6">
        <f t="shared" si="35"/>
        <v>47535</v>
      </c>
    </row>
    <row r="2246" spans="1:1">
      <c r="A2246" s="6">
        <f t="shared" si="35"/>
        <v>47536</v>
      </c>
    </row>
    <row r="2247" spans="1:1">
      <c r="A2247" s="6">
        <f t="shared" si="35"/>
        <v>47537</v>
      </c>
    </row>
    <row r="2248" spans="1:1">
      <c r="A2248" s="6">
        <f t="shared" si="35"/>
        <v>47538</v>
      </c>
    </row>
    <row r="2249" spans="1:1">
      <c r="A2249" s="6">
        <f t="shared" si="35"/>
        <v>47539</v>
      </c>
    </row>
    <row r="2250" spans="1:1">
      <c r="A2250" s="6">
        <f t="shared" si="35"/>
        <v>47540</v>
      </c>
    </row>
    <row r="2251" spans="1:1">
      <c r="A2251" s="6">
        <f t="shared" si="35"/>
        <v>47541</v>
      </c>
    </row>
    <row r="2252" spans="1:1">
      <c r="A2252" s="6">
        <f t="shared" si="35"/>
        <v>47542</v>
      </c>
    </row>
    <row r="2253" spans="1:1">
      <c r="A2253" s="6">
        <f t="shared" si="35"/>
        <v>47543</v>
      </c>
    </row>
    <row r="2254" spans="1:1">
      <c r="A2254" s="6">
        <f t="shared" si="35"/>
        <v>47544</v>
      </c>
    </row>
    <row r="2255" spans="1:1">
      <c r="A2255" s="6">
        <f t="shared" si="35"/>
        <v>47545</v>
      </c>
    </row>
    <row r="2256" spans="1:1">
      <c r="A2256" s="6">
        <f t="shared" si="35"/>
        <v>47546</v>
      </c>
    </row>
    <row r="2257" spans="1:1">
      <c r="A2257" s="6">
        <f t="shared" si="35"/>
        <v>47547</v>
      </c>
    </row>
    <row r="2258" spans="1:1">
      <c r="A2258" s="6">
        <f t="shared" si="35"/>
        <v>47548</v>
      </c>
    </row>
    <row r="2259" spans="1:1">
      <c r="A2259" s="6">
        <f t="shared" si="35"/>
        <v>47549</v>
      </c>
    </row>
    <row r="2260" spans="1:1">
      <c r="A2260" s="6">
        <f t="shared" si="35"/>
        <v>47550</v>
      </c>
    </row>
    <row r="2261" spans="1:1">
      <c r="A2261" s="6">
        <f t="shared" si="35"/>
        <v>47551</v>
      </c>
    </row>
    <row r="2262" spans="1:1">
      <c r="A2262" s="6">
        <f t="shared" si="35"/>
        <v>47552</v>
      </c>
    </row>
    <row r="2263" spans="1:1">
      <c r="A2263" s="6">
        <f t="shared" si="35"/>
        <v>47553</v>
      </c>
    </row>
    <row r="2264" spans="1:1">
      <c r="A2264" s="6">
        <f t="shared" si="35"/>
        <v>47554</v>
      </c>
    </row>
    <row r="2265" spans="1:1">
      <c r="A2265" s="6">
        <f t="shared" si="35"/>
        <v>47555</v>
      </c>
    </row>
    <row r="2266" spans="1:1">
      <c r="A2266" s="6">
        <f t="shared" si="35"/>
        <v>47556</v>
      </c>
    </row>
    <row r="2267" spans="1:1">
      <c r="A2267" s="6">
        <f t="shared" si="35"/>
        <v>47557</v>
      </c>
    </row>
    <row r="2268" spans="1:1">
      <c r="A2268" s="6">
        <f t="shared" si="35"/>
        <v>47558</v>
      </c>
    </row>
    <row r="2269" spans="1:1">
      <c r="A2269" s="6">
        <f t="shared" si="35"/>
        <v>47559</v>
      </c>
    </row>
    <row r="2270" spans="1:1">
      <c r="A2270" s="6">
        <f t="shared" si="35"/>
        <v>47560</v>
      </c>
    </row>
    <row r="2271" spans="1:1">
      <c r="A2271" s="6">
        <f t="shared" si="35"/>
        <v>47561</v>
      </c>
    </row>
    <row r="2272" spans="1:1">
      <c r="A2272" s="6">
        <f t="shared" si="35"/>
        <v>47562</v>
      </c>
    </row>
    <row r="2273" spans="1:1">
      <c r="A2273" s="6">
        <f t="shared" si="35"/>
        <v>47563</v>
      </c>
    </row>
    <row r="2274" spans="1:1">
      <c r="A2274" s="6">
        <f t="shared" si="35"/>
        <v>47564</v>
      </c>
    </row>
    <row r="2275" spans="1:1">
      <c r="A2275" s="6">
        <f t="shared" si="35"/>
        <v>47565</v>
      </c>
    </row>
    <row r="2276" spans="1:1">
      <c r="A2276" s="6">
        <f t="shared" si="35"/>
        <v>47566</v>
      </c>
    </row>
    <row r="2277" spans="1:1">
      <c r="A2277" s="6">
        <f t="shared" si="35"/>
        <v>47567</v>
      </c>
    </row>
    <row r="2278" spans="1:1">
      <c r="A2278" s="6">
        <f t="shared" si="35"/>
        <v>47568</v>
      </c>
    </row>
    <row r="2279" spans="1:1">
      <c r="A2279" s="6">
        <f t="shared" si="35"/>
        <v>47569</v>
      </c>
    </row>
    <row r="2280" spans="1:1">
      <c r="A2280" s="6">
        <f t="shared" si="35"/>
        <v>47570</v>
      </c>
    </row>
    <row r="2281" spans="1:1">
      <c r="A2281" s="6">
        <f t="shared" si="35"/>
        <v>47571</v>
      </c>
    </row>
    <row r="2282" spans="1:1">
      <c r="A2282" s="6">
        <f t="shared" si="35"/>
        <v>47572</v>
      </c>
    </row>
    <row r="2283" spans="1:1">
      <c r="A2283" s="6">
        <f t="shared" si="35"/>
        <v>47573</v>
      </c>
    </row>
    <row r="2284" spans="1:1">
      <c r="A2284" s="6">
        <f t="shared" si="35"/>
        <v>47574</v>
      </c>
    </row>
    <row r="2285" spans="1:1">
      <c r="A2285" s="6">
        <f t="shared" si="35"/>
        <v>47575</v>
      </c>
    </row>
    <row r="2286" spans="1:1">
      <c r="A2286" s="6">
        <f t="shared" si="35"/>
        <v>47576</v>
      </c>
    </row>
    <row r="2287" spans="1:1">
      <c r="A2287" s="6">
        <f t="shared" si="35"/>
        <v>47577</v>
      </c>
    </row>
    <row r="2288" spans="1:1">
      <c r="A2288" s="6">
        <f t="shared" si="35"/>
        <v>47578</v>
      </c>
    </row>
    <row r="2289" spans="1:1">
      <c r="A2289" s="6">
        <f t="shared" si="35"/>
        <v>47579</v>
      </c>
    </row>
    <row r="2290" spans="1:1">
      <c r="A2290" s="6">
        <f t="shared" si="35"/>
        <v>47580</v>
      </c>
    </row>
    <row r="2291" spans="1:1">
      <c r="A2291" s="6">
        <f t="shared" si="35"/>
        <v>47581</v>
      </c>
    </row>
    <row r="2292" spans="1:1">
      <c r="A2292" s="6">
        <f t="shared" si="35"/>
        <v>47582</v>
      </c>
    </row>
    <row r="2293" spans="1:1">
      <c r="A2293" s="6">
        <f t="shared" si="35"/>
        <v>47583</v>
      </c>
    </row>
    <row r="2294" spans="1:1">
      <c r="A2294" s="6">
        <f t="shared" si="35"/>
        <v>47584</v>
      </c>
    </row>
    <row r="2295" spans="1:1">
      <c r="A2295" s="6">
        <f t="shared" ref="A2295:A2358" si="36">A2294+1</f>
        <v>47585</v>
      </c>
    </row>
    <row r="2296" spans="1:1">
      <c r="A2296" s="6">
        <f t="shared" si="36"/>
        <v>47586</v>
      </c>
    </row>
    <row r="2297" spans="1:1">
      <c r="A2297" s="6">
        <f t="shared" si="36"/>
        <v>47587</v>
      </c>
    </row>
    <row r="2298" spans="1:1">
      <c r="A2298" s="6">
        <f t="shared" si="36"/>
        <v>47588</v>
      </c>
    </row>
    <row r="2299" spans="1:1">
      <c r="A2299" s="6">
        <f t="shared" si="36"/>
        <v>47589</v>
      </c>
    </row>
    <row r="2300" spans="1:1">
      <c r="A2300" s="6">
        <f t="shared" si="36"/>
        <v>47590</v>
      </c>
    </row>
    <row r="2301" spans="1:1">
      <c r="A2301" s="6">
        <f t="shared" si="36"/>
        <v>47591</v>
      </c>
    </row>
    <row r="2302" spans="1:1">
      <c r="A2302" s="6">
        <f t="shared" si="36"/>
        <v>47592</v>
      </c>
    </row>
    <row r="2303" spans="1:1">
      <c r="A2303" s="6">
        <f t="shared" si="36"/>
        <v>47593</v>
      </c>
    </row>
    <row r="2304" spans="1:1">
      <c r="A2304" s="6">
        <f t="shared" si="36"/>
        <v>47594</v>
      </c>
    </row>
    <row r="2305" spans="1:1">
      <c r="A2305" s="6">
        <f t="shared" si="36"/>
        <v>47595</v>
      </c>
    </row>
    <row r="2306" spans="1:1">
      <c r="A2306" s="6">
        <f t="shared" si="36"/>
        <v>47596</v>
      </c>
    </row>
    <row r="2307" spans="1:1">
      <c r="A2307" s="6">
        <f t="shared" si="36"/>
        <v>47597</v>
      </c>
    </row>
    <row r="2308" spans="1:1">
      <c r="A2308" s="6">
        <f t="shared" si="36"/>
        <v>47598</v>
      </c>
    </row>
    <row r="2309" spans="1:1">
      <c r="A2309" s="6">
        <f t="shared" si="36"/>
        <v>47599</v>
      </c>
    </row>
    <row r="2310" spans="1:1">
      <c r="A2310" s="6">
        <f t="shared" si="36"/>
        <v>47600</v>
      </c>
    </row>
    <row r="2311" spans="1:1">
      <c r="A2311" s="6">
        <f t="shared" si="36"/>
        <v>47601</v>
      </c>
    </row>
    <row r="2312" spans="1:1">
      <c r="A2312" s="6">
        <f t="shared" si="36"/>
        <v>47602</v>
      </c>
    </row>
    <row r="2313" spans="1:1">
      <c r="A2313" s="6">
        <f t="shared" si="36"/>
        <v>47603</v>
      </c>
    </row>
    <row r="2314" spans="1:1">
      <c r="A2314" s="6">
        <f t="shared" si="36"/>
        <v>47604</v>
      </c>
    </row>
    <row r="2315" spans="1:1">
      <c r="A2315" s="6">
        <f t="shared" si="36"/>
        <v>47605</v>
      </c>
    </row>
    <row r="2316" spans="1:1">
      <c r="A2316" s="6">
        <f t="shared" si="36"/>
        <v>47606</v>
      </c>
    </row>
    <row r="2317" spans="1:1">
      <c r="A2317" s="6">
        <f t="shared" si="36"/>
        <v>47607</v>
      </c>
    </row>
    <row r="2318" spans="1:1">
      <c r="A2318" s="6">
        <f t="shared" si="36"/>
        <v>47608</v>
      </c>
    </row>
    <row r="2319" spans="1:1">
      <c r="A2319" s="6">
        <f t="shared" si="36"/>
        <v>47609</v>
      </c>
    </row>
    <row r="2320" spans="1:1">
      <c r="A2320" s="6">
        <f t="shared" si="36"/>
        <v>47610</v>
      </c>
    </row>
    <row r="2321" spans="1:1">
      <c r="A2321" s="6">
        <f t="shared" si="36"/>
        <v>47611</v>
      </c>
    </row>
    <row r="2322" spans="1:1">
      <c r="A2322" s="6">
        <f t="shared" si="36"/>
        <v>47612</v>
      </c>
    </row>
    <row r="2323" spans="1:1">
      <c r="A2323" s="6">
        <f t="shared" si="36"/>
        <v>47613</v>
      </c>
    </row>
    <row r="2324" spans="1:1">
      <c r="A2324" s="6">
        <f t="shared" si="36"/>
        <v>47614</v>
      </c>
    </row>
    <row r="2325" spans="1:1">
      <c r="A2325" s="6">
        <f t="shared" si="36"/>
        <v>47615</v>
      </c>
    </row>
    <row r="2326" spans="1:1">
      <c r="A2326" s="6">
        <f t="shared" si="36"/>
        <v>47616</v>
      </c>
    </row>
    <row r="2327" spans="1:1">
      <c r="A2327" s="6">
        <f t="shared" si="36"/>
        <v>47617</v>
      </c>
    </row>
    <row r="2328" spans="1:1">
      <c r="A2328" s="6">
        <f t="shared" si="36"/>
        <v>47618</v>
      </c>
    </row>
    <row r="2329" spans="1:1">
      <c r="A2329" s="6">
        <f t="shared" si="36"/>
        <v>47619</v>
      </c>
    </row>
    <row r="2330" spans="1:1">
      <c r="A2330" s="6">
        <f t="shared" si="36"/>
        <v>47620</v>
      </c>
    </row>
    <row r="2331" spans="1:1">
      <c r="A2331" s="6">
        <f t="shared" si="36"/>
        <v>47621</v>
      </c>
    </row>
    <row r="2332" spans="1:1">
      <c r="A2332" s="6">
        <f t="shared" si="36"/>
        <v>47622</v>
      </c>
    </row>
    <row r="2333" spans="1:1">
      <c r="A2333" s="6">
        <f t="shared" si="36"/>
        <v>47623</v>
      </c>
    </row>
    <row r="2334" spans="1:1">
      <c r="A2334" s="6">
        <f t="shared" si="36"/>
        <v>47624</v>
      </c>
    </row>
    <row r="2335" spans="1:1">
      <c r="A2335" s="6">
        <f t="shared" si="36"/>
        <v>47625</v>
      </c>
    </row>
    <row r="2336" spans="1:1">
      <c r="A2336" s="6">
        <f t="shared" si="36"/>
        <v>47626</v>
      </c>
    </row>
    <row r="2337" spans="1:1">
      <c r="A2337" s="6">
        <f t="shared" si="36"/>
        <v>47627</v>
      </c>
    </row>
    <row r="2338" spans="1:1">
      <c r="A2338" s="6">
        <f t="shared" si="36"/>
        <v>47628</v>
      </c>
    </row>
    <row r="2339" spans="1:1">
      <c r="A2339" s="6">
        <f t="shared" si="36"/>
        <v>47629</v>
      </c>
    </row>
    <row r="2340" spans="1:1">
      <c r="A2340" s="6">
        <f t="shared" si="36"/>
        <v>47630</v>
      </c>
    </row>
    <row r="2341" spans="1:1">
      <c r="A2341" s="6">
        <f t="shared" si="36"/>
        <v>47631</v>
      </c>
    </row>
    <row r="2342" spans="1:1">
      <c r="A2342" s="6">
        <f t="shared" si="36"/>
        <v>47632</v>
      </c>
    </row>
    <row r="2343" spans="1:1">
      <c r="A2343" s="6">
        <f t="shared" si="36"/>
        <v>47633</v>
      </c>
    </row>
    <row r="2344" spans="1:1">
      <c r="A2344" s="6">
        <f t="shared" si="36"/>
        <v>47634</v>
      </c>
    </row>
    <row r="2345" spans="1:1">
      <c r="A2345" s="6">
        <f t="shared" si="36"/>
        <v>47635</v>
      </c>
    </row>
    <row r="2346" spans="1:1">
      <c r="A2346" s="6">
        <f t="shared" si="36"/>
        <v>47636</v>
      </c>
    </row>
    <row r="2347" spans="1:1">
      <c r="A2347" s="6">
        <f t="shared" si="36"/>
        <v>47637</v>
      </c>
    </row>
    <row r="2348" spans="1:1">
      <c r="A2348" s="6">
        <f t="shared" si="36"/>
        <v>47638</v>
      </c>
    </row>
    <row r="2349" spans="1:1">
      <c r="A2349" s="6">
        <f t="shared" si="36"/>
        <v>47639</v>
      </c>
    </row>
    <row r="2350" spans="1:1">
      <c r="A2350" s="6">
        <f t="shared" si="36"/>
        <v>47640</v>
      </c>
    </row>
    <row r="2351" spans="1:1">
      <c r="A2351" s="6">
        <f t="shared" si="36"/>
        <v>47641</v>
      </c>
    </row>
    <row r="2352" spans="1:1">
      <c r="A2352" s="6">
        <f t="shared" si="36"/>
        <v>47642</v>
      </c>
    </row>
    <row r="2353" spans="1:1">
      <c r="A2353" s="6">
        <f t="shared" si="36"/>
        <v>47643</v>
      </c>
    </row>
    <row r="2354" spans="1:1">
      <c r="A2354" s="6">
        <f t="shared" si="36"/>
        <v>47644</v>
      </c>
    </row>
    <row r="2355" spans="1:1">
      <c r="A2355" s="6">
        <f t="shared" si="36"/>
        <v>47645</v>
      </c>
    </row>
    <row r="2356" spans="1:1">
      <c r="A2356" s="6">
        <f t="shared" si="36"/>
        <v>47646</v>
      </c>
    </row>
    <row r="2357" spans="1:1">
      <c r="A2357" s="6">
        <f t="shared" si="36"/>
        <v>47647</v>
      </c>
    </row>
    <row r="2358" spans="1:1">
      <c r="A2358" s="6">
        <f t="shared" si="36"/>
        <v>47648</v>
      </c>
    </row>
    <row r="2359" spans="1:1">
      <c r="A2359" s="6">
        <f t="shared" ref="A2359:A2422" si="37">A2358+1</f>
        <v>47649</v>
      </c>
    </row>
    <row r="2360" spans="1:1">
      <c r="A2360" s="6">
        <f t="shared" si="37"/>
        <v>47650</v>
      </c>
    </row>
    <row r="2361" spans="1:1">
      <c r="A2361" s="6">
        <f t="shared" si="37"/>
        <v>47651</v>
      </c>
    </row>
    <row r="2362" spans="1:1">
      <c r="A2362" s="6">
        <f t="shared" si="37"/>
        <v>47652</v>
      </c>
    </row>
    <row r="2363" spans="1:1">
      <c r="A2363" s="6">
        <f t="shared" si="37"/>
        <v>47653</v>
      </c>
    </row>
    <row r="2364" spans="1:1">
      <c r="A2364" s="6">
        <f t="shared" si="37"/>
        <v>47654</v>
      </c>
    </row>
    <row r="2365" spans="1:1">
      <c r="A2365" s="6">
        <f t="shared" si="37"/>
        <v>47655</v>
      </c>
    </row>
    <row r="2366" spans="1:1">
      <c r="A2366" s="6">
        <f t="shared" si="37"/>
        <v>47656</v>
      </c>
    </row>
    <row r="2367" spans="1:1">
      <c r="A2367" s="6">
        <f t="shared" si="37"/>
        <v>47657</v>
      </c>
    </row>
    <row r="2368" spans="1:1">
      <c r="A2368" s="6">
        <f t="shared" si="37"/>
        <v>47658</v>
      </c>
    </row>
    <row r="2369" spans="1:1">
      <c r="A2369" s="6">
        <f t="shared" si="37"/>
        <v>47659</v>
      </c>
    </row>
    <row r="2370" spans="1:1">
      <c r="A2370" s="6">
        <f t="shared" si="37"/>
        <v>47660</v>
      </c>
    </row>
    <row r="2371" spans="1:1">
      <c r="A2371" s="6">
        <f t="shared" si="37"/>
        <v>47661</v>
      </c>
    </row>
    <row r="2372" spans="1:1">
      <c r="A2372" s="6">
        <f t="shared" si="37"/>
        <v>47662</v>
      </c>
    </row>
    <row r="2373" spans="1:1">
      <c r="A2373" s="6">
        <f t="shared" si="37"/>
        <v>47663</v>
      </c>
    </row>
    <row r="2374" spans="1:1">
      <c r="A2374" s="6">
        <f t="shared" si="37"/>
        <v>47664</v>
      </c>
    </row>
    <row r="2375" spans="1:1">
      <c r="A2375" s="6">
        <f t="shared" si="37"/>
        <v>47665</v>
      </c>
    </row>
    <row r="2376" spans="1:1">
      <c r="A2376" s="6">
        <f t="shared" si="37"/>
        <v>47666</v>
      </c>
    </row>
    <row r="2377" spans="1:1">
      <c r="A2377" s="6">
        <f t="shared" si="37"/>
        <v>47667</v>
      </c>
    </row>
    <row r="2378" spans="1:1">
      <c r="A2378" s="6">
        <f t="shared" si="37"/>
        <v>47668</v>
      </c>
    </row>
    <row r="2379" spans="1:1">
      <c r="A2379" s="6">
        <f t="shared" si="37"/>
        <v>47669</v>
      </c>
    </row>
    <row r="2380" spans="1:1">
      <c r="A2380" s="6">
        <f t="shared" si="37"/>
        <v>47670</v>
      </c>
    </row>
    <row r="2381" spans="1:1">
      <c r="A2381" s="6">
        <f t="shared" si="37"/>
        <v>47671</v>
      </c>
    </row>
    <row r="2382" spans="1:1">
      <c r="A2382" s="6">
        <f t="shared" si="37"/>
        <v>47672</v>
      </c>
    </row>
    <row r="2383" spans="1:1">
      <c r="A2383" s="6">
        <f t="shared" si="37"/>
        <v>47673</v>
      </c>
    </row>
    <row r="2384" spans="1:1">
      <c r="A2384" s="6">
        <f t="shared" si="37"/>
        <v>47674</v>
      </c>
    </row>
    <row r="2385" spans="1:1">
      <c r="A2385" s="6">
        <f t="shared" si="37"/>
        <v>47675</v>
      </c>
    </row>
    <row r="2386" spans="1:1">
      <c r="A2386" s="6">
        <f t="shared" si="37"/>
        <v>47676</v>
      </c>
    </row>
    <row r="2387" spans="1:1">
      <c r="A2387" s="6">
        <f t="shared" si="37"/>
        <v>47677</v>
      </c>
    </row>
    <row r="2388" spans="1:1">
      <c r="A2388" s="6">
        <f t="shared" si="37"/>
        <v>47678</v>
      </c>
    </row>
    <row r="2389" spans="1:1">
      <c r="A2389" s="6">
        <f t="shared" si="37"/>
        <v>47679</v>
      </c>
    </row>
    <row r="2390" spans="1:1">
      <c r="A2390" s="6">
        <f t="shared" si="37"/>
        <v>47680</v>
      </c>
    </row>
    <row r="2391" spans="1:1">
      <c r="A2391" s="6">
        <f t="shared" si="37"/>
        <v>47681</v>
      </c>
    </row>
    <row r="2392" spans="1:1">
      <c r="A2392" s="6">
        <f t="shared" si="37"/>
        <v>47682</v>
      </c>
    </row>
    <row r="2393" spans="1:1">
      <c r="A2393" s="6">
        <f t="shared" si="37"/>
        <v>47683</v>
      </c>
    </row>
    <row r="2394" spans="1:1">
      <c r="A2394" s="6">
        <f t="shared" si="37"/>
        <v>47684</v>
      </c>
    </row>
    <row r="2395" spans="1:1">
      <c r="A2395" s="6">
        <f t="shared" si="37"/>
        <v>47685</v>
      </c>
    </row>
    <row r="2396" spans="1:1">
      <c r="A2396" s="6">
        <f t="shared" si="37"/>
        <v>47686</v>
      </c>
    </row>
    <row r="2397" spans="1:1">
      <c r="A2397" s="6">
        <f t="shared" si="37"/>
        <v>47687</v>
      </c>
    </row>
    <row r="2398" spans="1:1">
      <c r="A2398" s="6">
        <f t="shared" si="37"/>
        <v>47688</v>
      </c>
    </row>
    <row r="2399" spans="1:1">
      <c r="A2399" s="6">
        <f t="shared" si="37"/>
        <v>47689</v>
      </c>
    </row>
    <row r="2400" spans="1:1">
      <c r="A2400" s="6">
        <f t="shared" si="37"/>
        <v>47690</v>
      </c>
    </row>
    <row r="2401" spans="1:1">
      <c r="A2401" s="6">
        <f t="shared" si="37"/>
        <v>47691</v>
      </c>
    </row>
    <row r="2402" spans="1:1">
      <c r="A2402" s="6">
        <f t="shared" si="37"/>
        <v>47692</v>
      </c>
    </row>
    <row r="2403" spans="1:1">
      <c r="A2403" s="6">
        <f t="shared" si="37"/>
        <v>47693</v>
      </c>
    </row>
    <row r="2404" spans="1:1">
      <c r="A2404" s="6">
        <f t="shared" si="37"/>
        <v>47694</v>
      </c>
    </row>
    <row r="2405" spans="1:1">
      <c r="A2405" s="6">
        <f t="shared" si="37"/>
        <v>47695</v>
      </c>
    </row>
    <row r="2406" spans="1:1">
      <c r="A2406" s="6">
        <f t="shared" si="37"/>
        <v>47696</v>
      </c>
    </row>
    <row r="2407" spans="1:1">
      <c r="A2407" s="6">
        <f t="shared" si="37"/>
        <v>47697</v>
      </c>
    </row>
    <row r="2408" spans="1:1">
      <c r="A2408" s="6">
        <f t="shared" si="37"/>
        <v>47698</v>
      </c>
    </row>
    <row r="2409" spans="1:1">
      <c r="A2409" s="6">
        <f t="shared" si="37"/>
        <v>47699</v>
      </c>
    </row>
    <row r="2410" spans="1:1">
      <c r="A2410" s="6">
        <f t="shared" si="37"/>
        <v>47700</v>
      </c>
    </row>
    <row r="2411" spans="1:1">
      <c r="A2411" s="6">
        <f t="shared" si="37"/>
        <v>47701</v>
      </c>
    </row>
    <row r="2412" spans="1:1">
      <c r="A2412" s="6">
        <f t="shared" si="37"/>
        <v>47702</v>
      </c>
    </row>
    <row r="2413" spans="1:1">
      <c r="A2413" s="6">
        <f t="shared" si="37"/>
        <v>47703</v>
      </c>
    </row>
    <row r="2414" spans="1:1">
      <c r="A2414" s="6">
        <f t="shared" si="37"/>
        <v>47704</v>
      </c>
    </row>
    <row r="2415" spans="1:1">
      <c r="A2415" s="6">
        <f t="shared" si="37"/>
        <v>47705</v>
      </c>
    </row>
    <row r="2416" spans="1:1">
      <c r="A2416" s="6">
        <f t="shared" si="37"/>
        <v>47706</v>
      </c>
    </row>
    <row r="2417" spans="1:1">
      <c r="A2417" s="6">
        <f t="shared" si="37"/>
        <v>47707</v>
      </c>
    </row>
    <row r="2418" spans="1:1">
      <c r="A2418" s="6">
        <f t="shared" si="37"/>
        <v>47708</v>
      </c>
    </row>
    <row r="2419" spans="1:1">
      <c r="A2419" s="6">
        <f t="shared" si="37"/>
        <v>47709</v>
      </c>
    </row>
    <row r="2420" spans="1:1">
      <c r="A2420" s="6">
        <f t="shared" si="37"/>
        <v>47710</v>
      </c>
    </row>
    <row r="2421" spans="1:1">
      <c r="A2421" s="6">
        <f t="shared" si="37"/>
        <v>47711</v>
      </c>
    </row>
    <row r="2422" spans="1:1">
      <c r="A2422" s="6">
        <f t="shared" si="37"/>
        <v>47712</v>
      </c>
    </row>
    <row r="2423" spans="1:1">
      <c r="A2423" s="6">
        <f t="shared" ref="A2423:A2486" si="38">A2422+1</f>
        <v>47713</v>
      </c>
    </row>
    <row r="2424" spans="1:1">
      <c r="A2424" s="6">
        <f t="shared" si="38"/>
        <v>47714</v>
      </c>
    </row>
    <row r="2425" spans="1:1">
      <c r="A2425" s="6">
        <f t="shared" si="38"/>
        <v>47715</v>
      </c>
    </row>
    <row r="2426" spans="1:1">
      <c r="A2426" s="6">
        <f t="shared" si="38"/>
        <v>47716</v>
      </c>
    </row>
    <row r="2427" spans="1:1">
      <c r="A2427" s="6">
        <f t="shared" si="38"/>
        <v>47717</v>
      </c>
    </row>
    <row r="2428" spans="1:1">
      <c r="A2428" s="6">
        <f t="shared" si="38"/>
        <v>47718</v>
      </c>
    </row>
    <row r="2429" spans="1:1">
      <c r="A2429" s="6">
        <f t="shared" si="38"/>
        <v>47719</v>
      </c>
    </row>
    <row r="2430" spans="1:1">
      <c r="A2430" s="6">
        <f t="shared" si="38"/>
        <v>47720</v>
      </c>
    </row>
    <row r="2431" spans="1:1">
      <c r="A2431" s="6">
        <f t="shared" si="38"/>
        <v>47721</v>
      </c>
    </row>
    <row r="2432" spans="1:1">
      <c r="A2432" s="6">
        <f t="shared" si="38"/>
        <v>47722</v>
      </c>
    </row>
    <row r="2433" spans="1:1">
      <c r="A2433" s="6">
        <f t="shared" si="38"/>
        <v>47723</v>
      </c>
    </row>
    <row r="2434" spans="1:1">
      <c r="A2434" s="6">
        <f t="shared" si="38"/>
        <v>47724</v>
      </c>
    </row>
    <row r="2435" spans="1:1">
      <c r="A2435" s="6">
        <f t="shared" si="38"/>
        <v>47725</v>
      </c>
    </row>
    <row r="2436" spans="1:1">
      <c r="A2436" s="6">
        <f t="shared" si="38"/>
        <v>47726</v>
      </c>
    </row>
    <row r="2437" spans="1:1">
      <c r="A2437" s="6">
        <f t="shared" si="38"/>
        <v>47727</v>
      </c>
    </row>
    <row r="2438" spans="1:1">
      <c r="A2438" s="6">
        <f t="shared" si="38"/>
        <v>47728</v>
      </c>
    </row>
    <row r="2439" spans="1:1">
      <c r="A2439" s="6">
        <f t="shared" si="38"/>
        <v>47729</v>
      </c>
    </row>
    <row r="2440" spans="1:1">
      <c r="A2440" s="6">
        <f t="shared" si="38"/>
        <v>47730</v>
      </c>
    </row>
    <row r="2441" spans="1:1">
      <c r="A2441" s="6">
        <f t="shared" si="38"/>
        <v>47731</v>
      </c>
    </row>
    <row r="2442" spans="1:1">
      <c r="A2442" s="6">
        <f t="shared" si="38"/>
        <v>47732</v>
      </c>
    </row>
    <row r="2443" spans="1:1">
      <c r="A2443" s="6">
        <f t="shared" si="38"/>
        <v>47733</v>
      </c>
    </row>
    <row r="2444" spans="1:1">
      <c r="A2444" s="6">
        <f t="shared" si="38"/>
        <v>47734</v>
      </c>
    </row>
    <row r="2445" spans="1:1">
      <c r="A2445" s="6">
        <f t="shared" si="38"/>
        <v>47735</v>
      </c>
    </row>
    <row r="2446" spans="1:1">
      <c r="A2446" s="6">
        <f t="shared" si="38"/>
        <v>47736</v>
      </c>
    </row>
    <row r="2447" spans="1:1">
      <c r="A2447" s="6">
        <f t="shared" si="38"/>
        <v>47737</v>
      </c>
    </row>
    <row r="2448" spans="1:1">
      <c r="A2448" s="6">
        <f t="shared" si="38"/>
        <v>47738</v>
      </c>
    </row>
    <row r="2449" spans="1:1">
      <c r="A2449" s="6">
        <f t="shared" si="38"/>
        <v>47739</v>
      </c>
    </row>
    <row r="2450" spans="1:1">
      <c r="A2450" s="6">
        <f t="shared" si="38"/>
        <v>47740</v>
      </c>
    </row>
    <row r="2451" spans="1:1">
      <c r="A2451" s="6">
        <f t="shared" si="38"/>
        <v>47741</v>
      </c>
    </row>
    <row r="2452" spans="1:1">
      <c r="A2452" s="6">
        <f t="shared" si="38"/>
        <v>47742</v>
      </c>
    </row>
    <row r="2453" spans="1:1">
      <c r="A2453" s="6">
        <f t="shared" si="38"/>
        <v>47743</v>
      </c>
    </row>
    <row r="2454" spans="1:1">
      <c r="A2454" s="6">
        <f t="shared" si="38"/>
        <v>47744</v>
      </c>
    </row>
    <row r="2455" spans="1:1">
      <c r="A2455" s="6">
        <f t="shared" si="38"/>
        <v>47745</v>
      </c>
    </row>
    <row r="2456" spans="1:1">
      <c r="A2456" s="6">
        <f t="shared" si="38"/>
        <v>47746</v>
      </c>
    </row>
    <row r="2457" spans="1:1">
      <c r="A2457" s="6">
        <f t="shared" si="38"/>
        <v>47747</v>
      </c>
    </row>
    <row r="2458" spans="1:1">
      <c r="A2458" s="6">
        <f t="shared" si="38"/>
        <v>47748</v>
      </c>
    </row>
    <row r="2459" spans="1:1">
      <c r="A2459" s="6">
        <f t="shared" si="38"/>
        <v>47749</v>
      </c>
    </row>
    <row r="2460" spans="1:1">
      <c r="A2460" s="6">
        <f t="shared" si="38"/>
        <v>47750</v>
      </c>
    </row>
    <row r="2461" spans="1:1">
      <c r="A2461" s="6">
        <f t="shared" si="38"/>
        <v>47751</v>
      </c>
    </row>
    <row r="2462" spans="1:1">
      <c r="A2462" s="6">
        <f t="shared" si="38"/>
        <v>47752</v>
      </c>
    </row>
    <row r="2463" spans="1:1">
      <c r="A2463" s="6">
        <f t="shared" si="38"/>
        <v>47753</v>
      </c>
    </row>
    <row r="2464" spans="1:1">
      <c r="A2464" s="6">
        <f t="shared" si="38"/>
        <v>47754</v>
      </c>
    </row>
    <row r="2465" spans="1:1">
      <c r="A2465" s="6">
        <f t="shared" si="38"/>
        <v>47755</v>
      </c>
    </row>
    <row r="2466" spans="1:1">
      <c r="A2466" s="6">
        <f t="shared" si="38"/>
        <v>47756</v>
      </c>
    </row>
    <row r="2467" spans="1:1">
      <c r="A2467" s="6">
        <f t="shared" si="38"/>
        <v>47757</v>
      </c>
    </row>
    <row r="2468" spans="1:1">
      <c r="A2468" s="6">
        <f t="shared" si="38"/>
        <v>47758</v>
      </c>
    </row>
    <row r="2469" spans="1:1">
      <c r="A2469" s="6">
        <f t="shared" si="38"/>
        <v>47759</v>
      </c>
    </row>
    <row r="2470" spans="1:1">
      <c r="A2470" s="6">
        <f t="shared" si="38"/>
        <v>47760</v>
      </c>
    </row>
    <row r="2471" spans="1:1">
      <c r="A2471" s="6">
        <f t="shared" si="38"/>
        <v>47761</v>
      </c>
    </row>
    <row r="2472" spans="1:1">
      <c r="A2472" s="6">
        <f t="shared" si="38"/>
        <v>47762</v>
      </c>
    </row>
    <row r="2473" spans="1:1">
      <c r="A2473" s="6">
        <f t="shared" si="38"/>
        <v>47763</v>
      </c>
    </row>
    <row r="2474" spans="1:1">
      <c r="A2474" s="6">
        <f t="shared" si="38"/>
        <v>47764</v>
      </c>
    </row>
    <row r="2475" spans="1:1">
      <c r="A2475" s="6">
        <f t="shared" si="38"/>
        <v>47765</v>
      </c>
    </row>
    <row r="2476" spans="1:1">
      <c r="A2476" s="6">
        <f t="shared" si="38"/>
        <v>47766</v>
      </c>
    </row>
    <row r="2477" spans="1:1">
      <c r="A2477" s="6">
        <f t="shared" si="38"/>
        <v>47767</v>
      </c>
    </row>
    <row r="2478" spans="1:1">
      <c r="A2478" s="6">
        <f t="shared" si="38"/>
        <v>47768</v>
      </c>
    </row>
    <row r="2479" spans="1:1">
      <c r="A2479" s="6">
        <f t="shared" si="38"/>
        <v>47769</v>
      </c>
    </row>
    <row r="2480" spans="1:1">
      <c r="A2480" s="6">
        <f t="shared" si="38"/>
        <v>47770</v>
      </c>
    </row>
    <row r="2481" spans="1:1">
      <c r="A2481" s="6">
        <f t="shared" si="38"/>
        <v>47771</v>
      </c>
    </row>
    <row r="2482" spans="1:1">
      <c r="A2482" s="6">
        <f t="shared" si="38"/>
        <v>47772</v>
      </c>
    </row>
    <row r="2483" spans="1:1">
      <c r="A2483" s="6">
        <f t="shared" si="38"/>
        <v>47773</v>
      </c>
    </row>
    <row r="2484" spans="1:1">
      <c r="A2484" s="6">
        <f t="shared" si="38"/>
        <v>47774</v>
      </c>
    </row>
    <row r="2485" spans="1:1">
      <c r="A2485" s="6">
        <f t="shared" si="38"/>
        <v>47775</v>
      </c>
    </row>
    <row r="2486" spans="1:1">
      <c r="A2486" s="6">
        <f t="shared" si="38"/>
        <v>47776</v>
      </c>
    </row>
    <row r="2487" spans="1:1">
      <c r="A2487" s="6">
        <f t="shared" ref="A2487:A2550" si="39">A2486+1</f>
        <v>47777</v>
      </c>
    </row>
    <row r="2488" spans="1:1">
      <c r="A2488" s="6">
        <f t="shared" si="39"/>
        <v>47778</v>
      </c>
    </row>
    <row r="2489" spans="1:1">
      <c r="A2489" s="6">
        <f t="shared" si="39"/>
        <v>47779</v>
      </c>
    </row>
    <row r="2490" spans="1:1">
      <c r="A2490" s="6">
        <f t="shared" si="39"/>
        <v>47780</v>
      </c>
    </row>
    <row r="2491" spans="1:1">
      <c r="A2491" s="6">
        <f t="shared" si="39"/>
        <v>47781</v>
      </c>
    </row>
    <row r="2492" spans="1:1">
      <c r="A2492" s="6">
        <f t="shared" si="39"/>
        <v>47782</v>
      </c>
    </row>
    <row r="2493" spans="1:1">
      <c r="A2493" s="6">
        <f t="shared" si="39"/>
        <v>47783</v>
      </c>
    </row>
    <row r="2494" spans="1:1">
      <c r="A2494" s="6">
        <f t="shared" si="39"/>
        <v>47784</v>
      </c>
    </row>
    <row r="2495" spans="1:1">
      <c r="A2495" s="6">
        <f t="shared" si="39"/>
        <v>47785</v>
      </c>
    </row>
    <row r="2496" spans="1:1">
      <c r="A2496" s="6">
        <f t="shared" si="39"/>
        <v>47786</v>
      </c>
    </row>
    <row r="2497" spans="1:1">
      <c r="A2497" s="6">
        <f t="shared" si="39"/>
        <v>47787</v>
      </c>
    </row>
    <row r="2498" spans="1:1">
      <c r="A2498" s="6">
        <f t="shared" si="39"/>
        <v>47788</v>
      </c>
    </row>
    <row r="2499" spans="1:1">
      <c r="A2499" s="6">
        <f t="shared" si="39"/>
        <v>47789</v>
      </c>
    </row>
    <row r="2500" spans="1:1">
      <c r="A2500" s="6">
        <f t="shared" si="39"/>
        <v>47790</v>
      </c>
    </row>
    <row r="2501" spans="1:1">
      <c r="A2501" s="6">
        <f t="shared" si="39"/>
        <v>47791</v>
      </c>
    </row>
    <row r="2502" spans="1:1">
      <c r="A2502" s="6">
        <f t="shared" si="39"/>
        <v>47792</v>
      </c>
    </row>
    <row r="2503" spans="1:1">
      <c r="A2503" s="6">
        <f t="shared" si="39"/>
        <v>47793</v>
      </c>
    </row>
    <row r="2504" spans="1:1">
      <c r="A2504" s="6">
        <f t="shared" si="39"/>
        <v>47794</v>
      </c>
    </row>
    <row r="2505" spans="1:1">
      <c r="A2505" s="6">
        <f t="shared" si="39"/>
        <v>47795</v>
      </c>
    </row>
    <row r="2506" spans="1:1">
      <c r="A2506" s="6">
        <f t="shared" si="39"/>
        <v>47796</v>
      </c>
    </row>
    <row r="2507" spans="1:1">
      <c r="A2507" s="6">
        <f t="shared" si="39"/>
        <v>47797</v>
      </c>
    </row>
    <row r="2508" spans="1:1">
      <c r="A2508" s="6">
        <f t="shared" si="39"/>
        <v>47798</v>
      </c>
    </row>
    <row r="2509" spans="1:1">
      <c r="A2509" s="6">
        <f t="shared" si="39"/>
        <v>47799</v>
      </c>
    </row>
    <row r="2510" spans="1:1">
      <c r="A2510" s="6">
        <f t="shared" si="39"/>
        <v>47800</v>
      </c>
    </row>
    <row r="2511" spans="1:1">
      <c r="A2511" s="6">
        <f t="shared" si="39"/>
        <v>47801</v>
      </c>
    </row>
    <row r="2512" spans="1:1">
      <c r="A2512" s="6">
        <f t="shared" si="39"/>
        <v>47802</v>
      </c>
    </row>
    <row r="2513" spans="1:1">
      <c r="A2513" s="6">
        <f t="shared" si="39"/>
        <v>47803</v>
      </c>
    </row>
    <row r="2514" spans="1:1">
      <c r="A2514" s="6">
        <f t="shared" si="39"/>
        <v>47804</v>
      </c>
    </row>
    <row r="2515" spans="1:1">
      <c r="A2515" s="6">
        <f t="shared" si="39"/>
        <v>47805</v>
      </c>
    </row>
    <row r="2516" spans="1:1">
      <c r="A2516" s="6">
        <f t="shared" si="39"/>
        <v>47806</v>
      </c>
    </row>
    <row r="2517" spans="1:1">
      <c r="A2517" s="6">
        <f t="shared" si="39"/>
        <v>47807</v>
      </c>
    </row>
    <row r="2518" spans="1:1">
      <c r="A2518" s="6">
        <f t="shared" si="39"/>
        <v>47808</v>
      </c>
    </row>
    <row r="2519" spans="1:1">
      <c r="A2519" s="6">
        <f t="shared" si="39"/>
        <v>47809</v>
      </c>
    </row>
    <row r="2520" spans="1:1">
      <c r="A2520" s="6">
        <f t="shared" si="39"/>
        <v>47810</v>
      </c>
    </row>
    <row r="2521" spans="1:1">
      <c r="A2521" s="6">
        <f t="shared" si="39"/>
        <v>47811</v>
      </c>
    </row>
    <row r="2522" spans="1:1">
      <c r="A2522" s="6">
        <f t="shared" si="39"/>
        <v>47812</v>
      </c>
    </row>
    <row r="2523" spans="1:1">
      <c r="A2523" s="6">
        <f t="shared" si="39"/>
        <v>47813</v>
      </c>
    </row>
    <row r="2524" spans="1:1">
      <c r="A2524" s="6">
        <f t="shared" si="39"/>
        <v>47814</v>
      </c>
    </row>
    <row r="2525" spans="1:1">
      <c r="A2525" s="6">
        <f t="shared" si="39"/>
        <v>47815</v>
      </c>
    </row>
    <row r="2526" spans="1:1">
      <c r="A2526" s="6">
        <f t="shared" si="39"/>
        <v>47816</v>
      </c>
    </row>
    <row r="2527" spans="1:1">
      <c r="A2527" s="6">
        <f t="shared" si="39"/>
        <v>47817</v>
      </c>
    </row>
    <row r="2528" spans="1:1">
      <c r="A2528" s="6">
        <f t="shared" si="39"/>
        <v>47818</v>
      </c>
    </row>
    <row r="2529" spans="1:1">
      <c r="A2529" s="6">
        <f t="shared" si="39"/>
        <v>47819</v>
      </c>
    </row>
    <row r="2530" spans="1:1">
      <c r="A2530" s="6">
        <f t="shared" si="39"/>
        <v>47820</v>
      </c>
    </row>
    <row r="2531" spans="1:1">
      <c r="A2531" s="6">
        <f t="shared" si="39"/>
        <v>47821</v>
      </c>
    </row>
    <row r="2532" spans="1:1">
      <c r="A2532" s="6">
        <f t="shared" si="39"/>
        <v>47822</v>
      </c>
    </row>
    <row r="2533" spans="1:1">
      <c r="A2533" s="6">
        <f t="shared" si="39"/>
        <v>47823</v>
      </c>
    </row>
    <row r="2534" spans="1:1">
      <c r="A2534" s="6">
        <f t="shared" si="39"/>
        <v>47824</v>
      </c>
    </row>
    <row r="2535" spans="1:1">
      <c r="A2535" s="6">
        <f t="shared" si="39"/>
        <v>47825</v>
      </c>
    </row>
    <row r="2536" spans="1:1">
      <c r="A2536" s="6">
        <f t="shared" si="39"/>
        <v>47826</v>
      </c>
    </row>
    <row r="2537" spans="1:1">
      <c r="A2537" s="6">
        <f t="shared" si="39"/>
        <v>47827</v>
      </c>
    </row>
    <row r="2538" spans="1:1">
      <c r="A2538" s="6">
        <f t="shared" si="39"/>
        <v>47828</v>
      </c>
    </row>
    <row r="2539" spans="1:1">
      <c r="A2539" s="6">
        <f t="shared" si="39"/>
        <v>47829</v>
      </c>
    </row>
    <row r="2540" spans="1:1">
      <c r="A2540" s="6">
        <f t="shared" si="39"/>
        <v>47830</v>
      </c>
    </row>
    <row r="2541" spans="1:1">
      <c r="A2541" s="6">
        <f t="shared" si="39"/>
        <v>47831</v>
      </c>
    </row>
    <row r="2542" spans="1:1">
      <c r="A2542" s="6">
        <f t="shared" si="39"/>
        <v>47832</v>
      </c>
    </row>
    <row r="2543" spans="1:1">
      <c r="A2543" s="6">
        <f t="shared" si="39"/>
        <v>47833</v>
      </c>
    </row>
    <row r="2544" spans="1:1">
      <c r="A2544" s="6">
        <f t="shared" si="39"/>
        <v>47834</v>
      </c>
    </row>
    <row r="2545" spans="1:1">
      <c r="A2545" s="6">
        <f t="shared" si="39"/>
        <v>47835</v>
      </c>
    </row>
    <row r="2546" spans="1:1">
      <c r="A2546" s="6">
        <f t="shared" si="39"/>
        <v>47836</v>
      </c>
    </row>
    <row r="2547" spans="1:1">
      <c r="A2547" s="6">
        <f t="shared" si="39"/>
        <v>47837</v>
      </c>
    </row>
    <row r="2548" spans="1:1">
      <c r="A2548" s="6">
        <f t="shared" si="39"/>
        <v>47838</v>
      </c>
    </row>
    <row r="2549" spans="1:1">
      <c r="A2549" s="6">
        <f t="shared" si="39"/>
        <v>47839</v>
      </c>
    </row>
    <row r="2550" spans="1:1">
      <c r="A2550" s="6">
        <f t="shared" si="39"/>
        <v>47840</v>
      </c>
    </row>
    <row r="2551" spans="1:1">
      <c r="A2551" s="6">
        <f t="shared" ref="A2551:A2614" si="40">A2550+1</f>
        <v>47841</v>
      </c>
    </row>
    <row r="2552" spans="1:1">
      <c r="A2552" s="6">
        <f t="shared" si="40"/>
        <v>47842</v>
      </c>
    </row>
    <row r="2553" spans="1:1">
      <c r="A2553" s="6">
        <f t="shared" si="40"/>
        <v>47843</v>
      </c>
    </row>
    <row r="2554" spans="1:1">
      <c r="A2554" s="6">
        <f t="shared" si="40"/>
        <v>47844</v>
      </c>
    </row>
    <row r="2555" spans="1:1">
      <c r="A2555" s="6">
        <f t="shared" si="40"/>
        <v>47845</v>
      </c>
    </row>
    <row r="2556" spans="1:1">
      <c r="A2556" s="6">
        <f t="shared" si="40"/>
        <v>47846</v>
      </c>
    </row>
    <row r="2557" spans="1:1">
      <c r="A2557" s="6">
        <f t="shared" si="40"/>
        <v>47847</v>
      </c>
    </row>
    <row r="2558" spans="1:1">
      <c r="A2558" s="6">
        <f t="shared" si="40"/>
        <v>47848</v>
      </c>
    </row>
    <row r="2559" spans="1:1">
      <c r="A2559" s="6">
        <f t="shared" si="40"/>
        <v>47849</v>
      </c>
    </row>
    <row r="2560" spans="1:1">
      <c r="A2560" s="6">
        <f t="shared" si="40"/>
        <v>47850</v>
      </c>
    </row>
    <row r="2561" spans="1:1">
      <c r="A2561" s="6">
        <f t="shared" si="40"/>
        <v>47851</v>
      </c>
    </row>
    <row r="2562" spans="1:1">
      <c r="A2562" s="6">
        <f t="shared" si="40"/>
        <v>47852</v>
      </c>
    </row>
    <row r="2563" spans="1:1">
      <c r="A2563" s="6">
        <f t="shared" si="40"/>
        <v>47853</v>
      </c>
    </row>
    <row r="2564" spans="1:1">
      <c r="A2564" s="6">
        <f t="shared" si="40"/>
        <v>47854</v>
      </c>
    </row>
    <row r="2565" spans="1:1">
      <c r="A2565" s="6">
        <f t="shared" si="40"/>
        <v>47855</v>
      </c>
    </row>
    <row r="2566" spans="1:1">
      <c r="A2566" s="6">
        <f t="shared" si="40"/>
        <v>47856</v>
      </c>
    </row>
    <row r="2567" spans="1:1">
      <c r="A2567" s="6">
        <f t="shared" si="40"/>
        <v>47857</v>
      </c>
    </row>
    <row r="2568" spans="1:1">
      <c r="A2568" s="6">
        <f t="shared" si="40"/>
        <v>47858</v>
      </c>
    </row>
    <row r="2569" spans="1:1">
      <c r="A2569" s="6">
        <f t="shared" si="40"/>
        <v>47859</v>
      </c>
    </row>
    <row r="2570" spans="1:1">
      <c r="A2570" s="6">
        <f t="shared" si="40"/>
        <v>47860</v>
      </c>
    </row>
    <row r="2571" spans="1:1">
      <c r="A2571" s="6">
        <f t="shared" si="40"/>
        <v>47861</v>
      </c>
    </row>
    <row r="2572" spans="1:1">
      <c r="A2572" s="6">
        <f t="shared" si="40"/>
        <v>47862</v>
      </c>
    </row>
    <row r="2573" spans="1:1">
      <c r="A2573" s="6">
        <f t="shared" si="40"/>
        <v>47863</v>
      </c>
    </row>
    <row r="2574" spans="1:1">
      <c r="A2574" s="6">
        <f t="shared" si="40"/>
        <v>47864</v>
      </c>
    </row>
    <row r="2575" spans="1:1">
      <c r="A2575" s="6">
        <f t="shared" si="40"/>
        <v>47865</v>
      </c>
    </row>
    <row r="2576" spans="1:1">
      <c r="A2576" s="6">
        <f t="shared" si="40"/>
        <v>47866</v>
      </c>
    </row>
    <row r="2577" spans="1:1">
      <c r="A2577" s="6">
        <f t="shared" si="40"/>
        <v>47867</v>
      </c>
    </row>
    <row r="2578" spans="1:1">
      <c r="A2578" s="6">
        <f t="shared" si="40"/>
        <v>47868</v>
      </c>
    </row>
    <row r="2579" spans="1:1">
      <c r="A2579" s="6">
        <f t="shared" si="40"/>
        <v>47869</v>
      </c>
    </row>
    <row r="2580" spans="1:1">
      <c r="A2580" s="6">
        <f t="shared" si="40"/>
        <v>47870</v>
      </c>
    </row>
    <row r="2581" spans="1:1">
      <c r="A2581" s="6">
        <f t="shared" si="40"/>
        <v>47871</v>
      </c>
    </row>
    <row r="2582" spans="1:1">
      <c r="A2582" s="6">
        <f t="shared" si="40"/>
        <v>47872</v>
      </c>
    </row>
    <row r="2583" spans="1:1">
      <c r="A2583" s="6">
        <f t="shared" si="40"/>
        <v>47873</v>
      </c>
    </row>
    <row r="2584" spans="1:1">
      <c r="A2584" s="6">
        <f t="shared" si="40"/>
        <v>47874</v>
      </c>
    </row>
    <row r="2585" spans="1:1">
      <c r="A2585" s="6">
        <f t="shared" si="40"/>
        <v>47875</v>
      </c>
    </row>
    <row r="2586" spans="1:1">
      <c r="A2586" s="6">
        <f t="shared" si="40"/>
        <v>47876</v>
      </c>
    </row>
    <row r="2587" spans="1:1">
      <c r="A2587" s="6">
        <f t="shared" si="40"/>
        <v>47877</v>
      </c>
    </row>
    <row r="2588" spans="1:1">
      <c r="A2588" s="6">
        <f t="shared" si="40"/>
        <v>47878</v>
      </c>
    </row>
    <row r="2589" spans="1:1">
      <c r="A2589" s="6">
        <f t="shared" si="40"/>
        <v>47879</v>
      </c>
    </row>
    <row r="2590" spans="1:1">
      <c r="A2590" s="6">
        <f t="shared" si="40"/>
        <v>47880</v>
      </c>
    </row>
    <row r="2591" spans="1:1">
      <c r="A2591" s="6">
        <f t="shared" si="40"/>
        <v>47881</v>
      </c>
    </row>
    <row r="2592" spans="1:1">
      <c r="A2592" s="6">
        <f t="shared" si="40"/>
        <v>47882</v>
      </c>
    </row>
    <row r="2593" spans="1:1">
      <c r="A2593" s="6">
        <f t="shared" si="40"/>
        <v>47883</v>
      </c>
    </row>
    <row r="2594" spans="1:1">
      <c r="A2594" s="6">
        <f t="shared" si="40"/>
        <v>47884</v>
      </c>
    </row>
    <row r="2595" spans="1:1">
      <c r="A2595" s="6">
        <f t="shared" si="40"/>
        <v>47885</v>
      </c>
    </row>
    <row r="2596" spans="1:1">
      <c r="A2596" s="6">
        <f t="shared" si="40"/>
        <v>47886</v>
      </c>
    </row>
    <row r="2597" spans="1:1">
      <c r="A2597" s="6">
        <f t="shared" si="40"/>
        <v>47887</v>
      </c>
    </row>
    <row r="2598" spans="1:1">
      <c r="A2598" s="6">
        <f t="shared" si="40"/>
        <v>47888</v>
      </c>
    </row>
    <row r="2599" spans="1:1">
      <c r="A2599" s="6">
        <f t="shared" si="40"/>
        <v>47889</v>
      </c>
    </row>
    <row r="2600" spans="1:1">
      <c r="A2600" s="6">
        <f t="shared" si="40"/>
        <v>47890</v>
      </c>
    </row>
    <row r="2601" spans="1:1">
      <c r="A2601" s="6">
        <f t="shared" si="40"/>
        <v>47891</v>
      </c>
    </row>
    <row r="2602" spans="1:1">
      <c r="A2602" s="6">
        <f t="shared" si="40"/>
        <v>47892</v>
      </c>
    </row>
    <row r="2603" spans="1:1">
      <c r="A2603" s="6">
        <f t="shared" si="40"/>
        <v>47893</v>
      </c>
    </row>
    <row r="2604" spans="1:1">
      <c r="A2604" s="6">
        <f t="shared" si="40"/>
        <v>47894</v>
      </c>
    </row>
    <row r="2605" spans="1:1">
      <c r="A2605" s="6">
        <f t="shared" si="40"/>
        <v>47895</v>
      </c>
    </row>
    <row r="2606" spans="1:1">
      <c r="A2606" s="6">
        <f t="shared" si="40"/>
        <v>47896</v>
      </c>
    </row>
    <row r="2607" spans="1:1">
      <c r="A2607" s="6">
        <f t="shared" si="40"/>
        <v>47897</v>
      </c>
    </row>
    <row r="2608" spans="1:1">
      <c r="A2608" s="6">
        <f t="shared" si="40"/>
        <v>47898</v>
      </c>
    </row>
    <row r="2609" spans="1:1">
      <c r="A2609" s="6">
        <f t="shared" si="40"/>
        <v>47899</v>
      </c>
    </row>
    <row r="2610" spans="1:1">
      <c r="A2610" s="6">
        <f t="shared" si="40"/>
        <v>47900</v>
      </c>
    </row>
    <row r="2611" spans="1:1">
      <c r="A2611" s="6">
        <f t="shared" si="40"/>
        <v>47901</v>
      </c>
    </row>
    <row r="2612" spans="1:1">
      <c r="A2612" s="6">
        <f t="shared" si="40"/>
        <v>47902</v>
      </c>
    </row>
    <row r="2613" spans="1:1">
      <c r="A2613" s="6">
        <f t="shared" si="40"/>
        <v>47903</v>
      </c>
    </row>
    <row r="2614" spans="1:1">
      <c r="A2614" s="6">
        <f t="shared" si="40"/>
        <v>47904</v>
      </c>
    </row>
    <row r="2615" spans="1:1">
      <c r="A2615" s="6">
        <f t="shared" ref="A2615:A2678" si="41">A2614+1</f>
        <v>47905</v>
      </c>
    </row>
    <row r="2616" spans="1:1">
      <c r="A2616" s="6">
        <f t="shared" si="41"/>
        <v>47906</v>
      </c>
    </row>
    <row r="2617" spans="1:1">
      <c r="A2617" s="6">
        <f t="shared" si="41"/>
        <v>47907</v>
      </c>
    </row>
    <row r="2618" spans="1:1">
      <c r="A2618" s="6">
        <f t="shared" si="41"/>
        <v>47908</v>
      </c>
    </row>
    <row r="2619" spans="1:1">
      <c r="A2619" s="6">
        <f t="shared" si="41"/>
        <v>47909</v>
      </c>
    </row>
    <row r="2620" spans="1:1">
      <c r="A2620" s="6">
        <f t="shared" si="41"/>
        <v>47910</v>
      </c>
    </row>
    <row r="2621" spans="1:1">
      <c r="A2621" s="6">
        <f t="shared" si="41"/>
        <v>47911</v>
      </c>
    </row>
    <row r="2622" spans="1:1">
      <c r="A2622" s="6">
        <f t="shared" si="41"/>
        <v>47912</v>
      </c>
    </row>
    <row r="2623" spans="1:1">
      <c r="A2623" s="6">
        <f t="shared" si="41"/>
        <v>47913</v>
      </c>
    </row>
    <row r="2624" spans="1:1">
      <c r="A2624" s="6">
        <f t="shared" si="41"/>
        <v>47914</v>
      </c>
    </row>
    <row r="2625" spans="1:1">
      <c r="A2625" s="6">
        <f t="shared" si="41"/>
        <v>47915</v>
      </c>
    </row>
    <row r="2626" spans="1:1">
      <c r="A2626" s="6">
        <f t="shared" si="41"/>
        <v>47916</v>
      </c>
    </row>
    <row r="2627" spans="1:1">
      <c r="A2627" s="6">
        <f t="shared" si="41"/>
        <v>47917</v>
      </c>
    </row>
    <row r="2628" spans="1:1">
      <c r="A2628" s="6">
        <f t="shared" si="41"/>
        <v>47918</v>
      </c>
    </row>
    <row r="2629" spans="1:1">
      <c r="A2629" s="6">
        <f t="shared" si="41"/>
        <v>47919</v>
      </c>
    </row>
    <row r="2630" spans="1:1">
      <c r="A2630" s="6">
        <f t="shared" si="41"/>
        <v>47920</v>
      </c>
    </row>
    <row r="2631" spans="1:1">
      <c r="A2631" s="6">
        <f t="shared" si="41"/>
        <v>47921</v>
      </c>
    </row>
    <row r="2632" spans="1:1">
      <c r="A2632" s="6">
        <f t="shared" si="41"/>
        <v>47922</v>
      </c>
    </row>
    <row r="2633" spans="1:1">
      <c r="A2633" s="6">
        <f t="shared" si="41"/>
        <v>47923</v>
      </c>
    </row>
    <row r="2634" spans="1:1">
      <c r="A2634" s="6">
        <f t="shared" si="41"/>
        <v>47924</v>
      </c>
    </row>
    <row r="2635" spans="1:1">
      <c r="A2635" s="6">
        <f t="shared" si="41"/>
        <v>47925</v>
      </c>
    </row>
    <row r="2636" spans="1:1">
      <c r="A2636" s="6">
        <f t="shared" si="41"/>
        <v>47926</v>
      </c>
    </row>
    <row r="2637" spans="1:1">
      <c r="A2637" s="6">
        <f t="shared" si="41"/>
        <v>47927</v>
      </c>
    </row>
    <row r="2638" spans="1:1">
      <c r="A2638" s="6">
        <f t="shared" si="41"/>
        <v>47928</v>
      </c>
    </row>
    <row r="2639" spans="1:1">
      <c r="A2639" s="6">
        <f t="shared" si="41"/>
        <v>47929</v>
      </c>
    </row>
    <row r="2640" spans="1:1">
      <c r="A2640" s="6">
        <f t="shared" si="41"/>
        <v>47930</v>
      </c>
    </row>
    <row r="2641" spans="1:1">
      <c r="A2641" s="6">
        <f t="shared" si="41"/>
        <v>47931</v>
      </c>
    </row>
    <row r="2642" spans="1:1">
      <c r="A2642" s="6">
        <f t="shared" si="41"/>
        <v>47932</v>
      </c>
    </row>
    <row r="2643" spans="1:1">
      <c r="A2643" s="6">
        <f t="shared" si="41"/>
        <v>47933</v>
      </c>
    </row>
    <row r="2644" spans="1:1">
      <c r="A2644" s="6">
        <f t="shared" si="41"/>
        <v>47934</v>
      </c>
    </row>
    <row r="2645" spans="1:1">
      <c r="A2645" s="6">
        <f t="shared" si="41"/>
        <v>47935</v>
      </c>
    </row>
    <row r="2646" spans="1:1">
      <c r="A2646" s="6">
        <f t="shared" si="41"/>
        <v>47936</v>
      </c>
    </row>
    <row r="2647" spans="1:1">
      <c r="A2647" s="6">
        <f t="shared" si="41"/>
        <v>47937</v>
      </c>
    </row>
    <row r="2648" spans="1:1">
      <c r="A2648" s="6">
        <f t="shared" si="41"/>
        <v>47938</v>
      </c>
    </row>
    <row r="2649" spans="1:1">
      <c r="A2649" s="6">
        <f t="shared" si="41"/>
        <v>47939</v>
      </c>
    </row>
    <row r="2650" spans="1:1">
      <c r="A2650" s="6">
        <f t="shared" si="41"/>
        <v>47940</v>
      </c>
    </row>
    <row r="2651" spans="1:1">
      <c r="A2651" s="6">
        <f t="shared" si="41"/>
        <v>47941</v>
      </c>
    </row>
    <row r="2652" spans="1:1">
      <c r="A2652" s="6">
        <f t="shared" si="41"/>
        <v>47942</v>
      </c>
    </row>
    <row r="2653" spans="1:1">
      <c r="A2653" s="6">
        <f t="shared" si="41"/>
        <v>47943</v>
      </c>
    </row>
    <row r="2654" spans="1:1">
      <c r="A2654" s="6">
        <f t="shared" si="41"/>
        <v>47944</v>
      </c>
    </row>
    <row r="2655" spans="1:1">
      <c r="A2655" s="6">
        <f t="shared" si="41"/>
        <v>47945</v>
      </c>
    </row>
    <row r="2656" spans="1:1">
      <c r="A2656" s="6">
        <f t="shared" si="41"/>
        <v>47946</v>
      </c>
    </row>
    <row r="2657" spans="1:1">
      <c r="A2657" s="6">
        <f t="shared" si="41"/>
        <v>47947</v>
      </c>
    </row>
    <row r="2658" spans="1:1">
      <c r="A2658" s="6">
        <f t="shared" si="41"/>
        <v>47948</v>
      </c>
    </row>
    <row r="2659" spans="1:1">
      <c r="A2659" s="6">
        <f t="shared" si="41"/>
        <v>47949</v>
      </c>
    </row>
    <row r="2660" spans="1:1">
      <c r="A2660" s="6">
        <f t="shared" si="41"/>
        <v>47950</v>
      </c>
    </row>
    <row r="2661" spans="1:1">
      <c r="A2661" s="6">
        <f t="shared" si="41"/>
        <v>47951</v>
      </c>
    </row>
    <row r="2662" spans="1:1">
      <c r="A2662" s="6">
        <f t="shared" si="41"/>
        <v>47952</v>
      </c>
    </row>
    <row r="2663" spans="1:1">
      <c r="A2663" s="6">
        <f t="shared" si="41"/>
        <v>47953</v>
      </c>
    </row>
    <row r="2664" spans="1:1">
      <c r="A2664" s="6">
        <f t="shared" si="41"/>
        <v>47954</v>
      </c>
    </row>
    <row r="2665" spans="1:1">
      <c r="A2665" s="6">
        <f t="shared" si="41"/>
        <v>47955</v>
      </c>
    </row>
    <row r="2666" spans="1:1">
      <c r="A2666" s="6">
        <f t="shared" si="41"/>
        <v>47956</v>
      </c>
    </row>
    <row r="2667" spans="1:1">
      <c r="A2667" s="6">
        <f t="shared" si="41"/>
        <v>47957</v>
      </c>
    </row>
    <row r="2668" spans="1:1">
      <c r="A2668" s="6">
        <f t="shared" si="41"/>
        <v>47958</v>
      </c>
    </row>
    <row r="2669" spans="1:1">
      <c r="A2669" s="6">
        <f t="shared" si="41"/>
        <v>47959</v>
      </c>
    </row>
    <row r="2670" spans="1:1">
      <c r="A2670" s="6">
        <f t="shared" si="41"/>
        <v>47960</v>
      </c>
    </row>
    <row r="2671" spans="1:1">
      <c r="A2671" s="6">
        <f t="shared" si="41"/>
        <v>47961</v>
      </c>
    </row>
    <row r="2672" spans="1:1">
      <c r="A2672" s="6">
        <f t="shared" si="41"/>
        <v>47962</v>
      </c>
    </row>
    <row r="2673" spans="1:1">
      <c r="A2673" s="6">
        <f t="shared" si="41"/>
        <v>47963</v>
      </c>
    </row>
    <row r="2674" spans="1:1">
      <c r="A2674" s="6">
        <f t="shared" si="41"/>
        <v>47964</v>
      </c>
    </row>
    <row r="2675" spans="1:1">
      <c r="A2675" s="6">
        <f t="shared" si="41"/>
        <v>47965</v>
      </c>
    </row>
    <row r="2676" spans="1:1">
      <c r="A2676" s="6">
        <f t="shared" si="41"/>
        <v>47966</v>
      </c>
    </row>
    <row r="2677" spans="1:1">
      <c r="A2677" s="6">
        <f t="shared" si="41"/>
        <v>47967</v>
      </c>
    </row>
    <row r="2678" spans="1:1">
      <c r="A2678" s="6">
        <f t="shared" si="41"/>
        <v>47968</v>
      </c>
    </row>
    <row r="2679" spans="1:1">
      <c r="A2679" s="6">
        <f t="shared" ref="A2679:A2742" si="42">A2678+1</f>
        <v>47969</v>
      </c>
    </row>
    <row r="2680" spans="1:1">
      <c r="A2680" s="6">
        <f t="shared" si="42"/>
        <v>47970</v>
      </c>
    </row>
    <row r="2681" spans="1:1">
      <c r="A2681" s="6">
        <f t="shared" si="42"/>
        <v>47971</v>
      </c>
    </row>
    <row r="2682" spans="1:1">
      <c r="A2682" s="6">
        <f t="shared" si="42"/>
        <v>47972</v>
      </c>
    </row>
    <row r="2683" spans="1:1">
      <c r="A2683" s="6">
        <f t="shared" si="42"/>
        <v>47973</v>
      </c>
    </row>
    <row r="2684" spans="1:1">
      <c r="A2684" s="6">
        <f t="shared" si="42"/>
        <v>47974</v>
      </c>
    </row>
    <row r="2685" spans="1:1">
      <c r="A2685" s="6">
        <f t="shared" si="42"/>
        <v>47975</v>
      </c>
    </row>
    <row r="2686" spans="1:1">
      <c r="A2686" s="6">
        <f t="shared" si="42"/>
        <v>47976</v>
      </c>
    </row>
    <row r="2687" spans="1:1">
      <c r="A2687" s="6">
        <f t="shared" si="42"/>
        <v>47977</v>
      </c>
    </row>
    <row r="2688" spans="1:1">
      <c r="A2688" s="6">
        <f t="shared" si="42"/>
        <v>47978</v>
      </c>
    </row>
    <row r="2689" spans="1:1">
      <c r="A2689" s="6">
        <f t="shared" si="42"/>
        <v>47979</v>
      </c>
    </row>
    <row r="2690" spans="1:1">
      <c r="A2690" s="6">
        <f t="shared" si="42"/>
        <v>47980</v>
      </c>
    </row>
    <row r="2691" spans="1:1">
      <c r="A2691" s="6">
        <f t="shared" si="42"/>
        <v>47981</v>
      </c>
    </row>
    <row r="2692" spans="1:1">
      <c r="A2692" s="6">
        <f t="shared" si="42"/>
        <v>47982</v>
      </c>
    </row>
    <row r="2693" spans="1:1">
      <c r="A2693" s="6">
        <f t="shared" si="42"/>
        <v>47983</v>
      </c>
    </row>
    <row r="2694" spans="1:1">
      <c r="A2694" s="6">
        <f t="shared" si="42"/>
        <v>47984</v>
      </c>
    </row>
    <row r="2695" spans="1:1">
      <c r="A2695" s="6">
        <f t="shared" si="42"/>
        <v>47985</v>
      </c>
    </row>
    <row r="2696" spans="1:1">
      <c r="A2696" s="6">
        <f t="shared" si="42"/>
        <v>47986</v>
      </c>
    </row>
    <row r="2697" spans="1:1">
      <c r="A2697" s="6">
        <f t="shared" si="42"/>
        <v>47987</v>
      </c>
    </row>
    <row r="2698" spans="1:1">
      <c r="A2698" s="6">
        <f t="shared" si="42"/>
        <v>47988</v>
      </c>
    </row>
    <row r="2699" spans="1:1">
      <c r="A2699" s="6">
        <f t="shared" si="42"/>
        <v>47989</v>
      </c>
    </row>
    <row r="2700" spans="1:1">
      <c r="A2700" s="6">
        <f t="shared" si="42"/>
        <v>47990</v>
      </c>
    </row>
    <row r="2701" spans="1:1">
      <c r="A2701" s="6">
        <f t="shared" si="42"/>
        <v>47991</v>
      </c>
    </row>
    <row r="2702" spans="1:1">
      <c r="A2702" s="6">
        <f t="shared" si="42"/>
        <v>47992</v>
      </c>
    </row>
    <row r="2703" spans="1:1">
      <c r="A2703" s="6">
        <f t="shared" si="42"/>
        <v>47993</v>
      </c>
    </row>
    <row r="2704" spans="1:1">
      <c r="A2704" s="6">
        <f t="shared" si="42"/>
        <v>47994</v>
      </c>
    </row>
    <row r="2705" spans="1:1">
      <c r="A2705" s="6">
        <f t="shared" si="42"/>
        <v>47995</v>
      </c>
    </row>
    <row r="2706" spans="1:1">
      <c r="A2706" s="6">
        <f t="shared" si="42"/>
        <v>47996</v>
      </c>
    </row>
    <row r="2707" spans="1:1">
      <c r="A2707" s="6">
        <f t="shared" si="42"/>
        <v>47997</v>
      </c>
    </row>
    <row r="2708" spans="1:1">
      <c r="A2708" s="6">
        <f t="shared" si="42"/>
        <v>47998</v>
      </c>
    </row>
    <row r="2709" spans="1:1">
      <c r="A2709" s="6">
        <f t="shared" si="42"/>
        <v>47999</v>
      </c>
    </row>
    <row r="2710" spans="1:1">
      <c r="A2710" s="6">
        <f t="shared" si="42"/>
        <v>48000</v>
      </c>
    </row>
    <row r="2711" spans="1:1">
      <c r="A2711" s="6">
        <f t="shared" si="42"/>
        <v>48001</v>
      </c>
    </row>
    <row r="2712" spans="1:1">
      <c r="A2712" s="6">
        <f t="shared" si="42"/>
        <v>48002</v>
      </c>
    </row>
    <row r="2713" spans="1:1">
      <c r="A2713" s="6">
        <f t="shared" si="42"/>
        <v>48003</v>
      </c>
    </row>
    <row r="2714" spans="1:1">
      <c r="A2714" s="6">
        <f t="shared" si="42"/>
        <v>48004</v>
      </c>
    </row>
    <row r="2715" spans="1:1">
      <c r="A2715" s="6">
        <f t="shared" si="42"/>
        <v>48005</v>
      </c>
    </row>
    <row r="2716" spans="1:1">
      <c r="A2716" s="6">
        <f t="shared" si="42"/>
        <v>48006</v>
      </c>
    </row>
    <row r="2717" spans="1:1">
      <c r="A2717" s="6">
        <f t="shared" si="42"/>
        <v>48007</v>
      </c>
    </row>
    <row r="2718" spans="1:1">
      <c r="A2718" s="6">
        <f t="shared" si="42"/>
        <v>48008</v>
      </c>
    </row>
    <row r="2719" spans="1:1">
      <c r="A2719" s="6">
        <f t="shared" si="42"/>
        <v>48009</v>
      </c>
    </row>
    <row r="2720" spans="1:1">
      <c r="A2720" s="6">
        <f t="shared" si="42"/>
        <v>48010</v>
      </c>
    </row>
    <row r="2721" spans="1:1">
      <c r="A2721" s="6">
        <f t="shared" si="42"/>
        <v>48011</v>
      </c>
    </row>
    <row r="2722" spans="1:1">
      <c r="A2722" s="6">
        <f t="shared" si="42"/>
        <v>48012</v>
      </c>
    </row>
    <row r="2723" spans="1:1">
      <c r="A2723" s="6">
        <f t="shared" si="42"/>
        <v>48013</v>
      </c>
    </row>
    <row r="2724" spans="1:1">
      <c r="A2724" s="6">
        <f t="shared" si="42"/>
        <v>48014</v>
      </c>
    </row>
    <row r="2725" spans="1:1">
      <c r="A2725" s="6">
        <f t="shared" si="42"/>
        <v>48015</v>
      </c>
    </row>
    <row r="2726" spans="1:1">
      <c r="A2726" s="6">
        <f t="shared" si="42"/>
        <v>48016</v>
      </c>
    </row>
    <row r="2727" spans="1:1">
      <c r="A2727" s="6">
        <f t="shared" si="42"/>
        <v>48017</v>
      </c>
    </row>
    <row r="2728" spans="1:1">
      <c r="A2728" s="6">
        <f t="shared" si="42"/>
        <v>48018</v>
      </c>
    </row>
    <row r="2729" spans="1:1">
      <c r="A2729" s="6">
        <f t="shared" si="42"/>
        <v>48019</v>
      </c>
    </row>
    <row r="2730" spans="1:1">
      <c r="A2730" s="6">
        <f t="shared" si="42"/>
        <v>48020</v>
      </c>
    </row>
    <row r="2731" spans="1:1">
      <c r="A2731" s="6">
        <f t="shared" si="42"/>
        <v>48021</v>
      </c>
    </row>
    <row r="2732" spans="1:1">
      <c r="A2732" s="6">
        <f t="shared" si="42"/>
        <v>48022</v>
      </c>
    </row>
    <row r="2733" spans="1:1">
      <c r="A2733" s="6">
        <f t="shared" si="42"/>
        <v>48023</v>
      </c>
    </row>
    <row r="2734" spans="1:1">
      <c r="A2734" s="6">
        <f t="shared" si="42"/>
        <v>48024</v>
      </c>
    </row>
    <row r="2735" spans="1:1">
      <c r="A2735" s="6">
        <f t="shared" si="42"/>
        <v>48025</v>
      </c>
    </row>
    <row r="2736" spans="1:1">
      <c r="A2736" s="6">
        <f t="shared" si="42"/>
        <v>48026</v>
      </c>
    </row>
    <row r="2737" spans="1:1">
      <c r="A2737" s="6">
        <f t="shared" si="42"/>
        <v>48027</v>
      </c>
    </row>
    <row r="2738" spans="1:1">
      <c r="A2738" s="6">
        <f t="shared" si="42"/>
        <v>48028</v>
      </c>
    </row>
    <row r="2739" spans="1:1">
      <c r="A2739" s="6">
        <f t="shared" si="42"/>
        <v>48029</v>
      </c>
    </row>
    <row r="2740" spans="1:1">
      <c r="A2740" s="6">
        <f t="shared" si="42"/>
        <v>48030</v>
      </c>
    </row>
    <row r="2741" spans="1:1">
      <c r="A2741" s="6">
        <f t="shared" si="42"/>
        <v>48031</v>
      </c>
    </row>
    <row r="2742" spans="1:1">
      <c r="A2742" s="6">
        <f t="shared" si="42"/>
        <v>48032</v>
      </c>
    </row>
    <row r="2743" spans="1:1">
      <c r="A2743" s="6">
        <f t="shared" ref="A2743:A2806" si="43">A2742+1</f>
        <v>48033</v>
      </c>
    </row>
    <row r="2744" spans="1:1">
      <c r="A2744" s="6">
        <f t="shared" si="43"/>
        <v>48034</v>
      </c>
    </row>
    <row r="2745" spans="1:1">
      <c r="A2745" s="6">
        <f t="shared" si="43"/>
        <v>48035</v>
      </c>
    </row>
    <row r="2746" spans="1:1">
      <c r="A2746" s="6">
        <f t="shared" si="43"/>
        <v>48036</v>
      </c>
    </row>
    <row r="2747" spans="1:1">
      <c r="A2747" s="6">
        <f t="shared" si="43"/>
        <v>48037</v>
      </c>
    </row>
    <row r="2748" spans="1:1">
      <c r="A2748" s="6">
        <f t="shared" si="43"/>
        <v>48038</v>
      </c>
    </row>
    <row r="2749" spans="1:1">
      <c r="A2749" s="6">
        <f t="shared" si="43"/>
        <v>48039</v>
      </c>
    </row>
    <row r="2750" spans="1:1">
      <c r="A2750" s="6">
        <f t="shared" si="43"/>
        <v>48040</v>
      </c>
    </row>
    <row r="2751" spans="1:1">
      <c r="A2751" s="6">
        <f t="shared" si="43"/>
        <v>48041</v>
      </c>
    </row>
    <row r="2752" spans="1:1">
      <c r="A2752" s="6">
        <f t="shared" si="43"/>
        <v>48042</v>
      </c>
    </row>
    <row r="2753" spans="1:1">
      <c r="A2753" s="6">
        <f t="shared" si="43"/>
        <v>48043</v>
      </c>
    </row>
    <row r="2754" spans="1:1">
      <c r="A2754" s="6">
        <f t="shared" si="43"/>
        <v>48044</v>
      </c>
    </row>
    <row r="2755" spans="1:1">
      <c r="A2755" s="6">
        <f t="shared" si="43"/>
        <v>48045</v>
      </c>
    </row>
    <row r="2756" spans="1:1">
      <c r="A2756" s="6">
        <f t="shared" si="43"/>
        <v>48046</v>
      </c>
    </row>
    <row r="2757" spans="1:1">
      <c r="A2757" s="6">
        <f t="shared" si="43"/>
        <v>48047</v>
      </c>
    </row>
    <row r="2758" spans="1:1">
      <c r="A2758" s="6">
        <f t="shared" si="43"/>
        <v>48048</v>
      </c>
    </row>
    <row r="2759" spans="1:1">
      <c r="A2759" s="6">
        <f t="shared" si="43"/>
        <v>48049</v>
      </c>
    </row>
    <row r="2760" spans="1:1">
      <c r="A2760" s="6">
        <f t="shared" si="43"/>
        <v>48050</v>
      </c>
    </row>
    <row r="2761" spans="1:1">
      <c r="A2761" s="6">
        <f t="shared" si="43"/>
        <v>48051</v>
      </c>
    </row>
    <row r="2762" spans="1:1">
      <c r="A2762" s="6">
        <f t="shared" si="43"/>
        <v>48052</v>
      </c>
    </row>
    <row r="2763" spans="1:1">
      <c r="A2763" s="6">
        <f t="shared" si="43"/>
        <v>48053</v>
      </c>
    </row>
    <row r="2764" spans="1:1">
      <c r="A2764" s="6">
        <f t="shared" si="43"/>
        <v>48054</v>
      </c>
    </row>
    <row r="2765" spans="1:1">
      <c r="A2765" s="6">
        <f t="shared" si="43"/>
        <v>48055</v>
      </c>
    </row>
    <row r="2766" spans="1:1">
      <c r="A2766" s="6">
        <f t="shared" si="43"/>
        <v>48056</v>
      </c>
    </row>
    <row r="2767" spans="1:1">
      <c r="A2767" s="6">
        <f t="shared" si="43"/>
        <v>48057</v>
      </c>
    </row>
    <row r="2768" spans="1:1">
      <c r="A2768" s="6">
        <f t="shared" si="43"/>
        <v>48058</v>
      </c>
    </row>
    <row r="2769" spans="1:1">
      <c r="A2769" s="6">
        <f t="shared" si="43"/>
        <v>48059</v>
      </c>
    </row>
    <row r="2770" spans="1:1">
      <c r="A2770" s="6">
        <f t="shared" si="43"/>
        <v>48060</v>
      </c>
    </row>
    <row r="2771" spans="1:1">
      <c r="A2771" s="6">
        <f t="shared" si="43"/>
        <v>48061</v>
      </c>
    </row>
    <row r="2772" spans="1:1">
      <c r="A2772" s="6">
        <f t="shared" si="43"/>
        <v>48062</v>
      </c>
    </row>
    <row r="2773" spans="1:1">
      <c r="A2773" s="6">
        <f t="shared" si="43"/>
        <v>48063</v>
      </c>
    </row>
    <row r="2774" spans="1:1">
      <c r="A2774" s="6">
        <f t="shared" si="43"/>
        <v>48064</v>
      </c>
    </row>
    <row r="2775" spans="1:1">
      <c r="A2775" s="6">
        <f t="shared" si="43"/>
        <v>48065</v>
      </c>
    </row>
    <row r="2776" spans="1:1">
      <c r="A2776" s="6">
        <f t="shared" si="43"/>
        <v>48066</v>
      </c>
    </row>
    <row r="2777" spans="1:1">
      <c r="A2777" s="6">
        <f t="shared" si="43"/>
        <v>48067</v>
      </c>
    </row>
    <row r="2778" spans="1:1">
      <c r="A2778" s="6">
        <f t="shared" si="43"/>
        <v>48068</v>
      </c>
    </row>
    <row r="2779" spans="1:1">
      <c r="A2779" s="6">
        <f t="shared" si="43"/>
        <v>48069</v>
      </c>
    </row>
    <row r="2780" spans="1:1">
      <c r="A2780" s="6">
        <f t="shared" si="43"/>
        <v>48070</v>
      </c>
    </row>
    <row r="2781" spans="1:1">
      <c r="A2781" s="6">
        <f t="shared" si="43"/>
        <v>48071</v>
      </c>
    </row>
    <row r="2782" spans="1:1">
      <c r="A2782" s="6">
        <f t="shared" si="43"/>
        <v>48072</v>
      </c>
    </row>
    <row r="2783" spans="1:1">
      <c r="A2783" s="6">
        <f t="shared" si="43"/>
        <v>48073</v>
      </c>
    </row>
    <row r="2784" spans="1:1">
      <c r="A2784" s="6">
        <f t="shared" si="43"/>
        <v>48074</v>
      </c>
    </row>
    <row r="2785" spans="1:1">
      <c r="A2785" s="6">
        <f t="shared" si="43"/>
        <v>48075</v>
      </c>
    </row>
    <row r="2786" spans="1:1">
      <c r="A2786" s="6">
        <f t="shared" si="43"/>
        <v>48076</v>
      </c>
    </row>
    <row r="2787" spans="1:1">
      <c r="A2787" s="6">
        <f t="shared" si="43"/>
        <v>48077</v>
      </c>
    </row>
    <row r="2788" spans="1:1">
      <c r="A2788" s="6">
        <f t="shared" si="43"/>
        <v>48078</v>
      </c>
    </row>
    <row r="2789" spans="1:1">
      <c r="A2789" s="6">
        <f t="shared" si="43"/>
        <v>48079</v>
      </c>
    </row>
    <row r="2790" spans="1:1">
      <c r="A2790" s="6">
        <f t="shared" si="43"/>
        <v>48080</v>
      </c>
    </row>
    <row r="2791" spans="1:1">
      <c r="A2791" s="6">
        <f t="shared" si="43"/>
        <v>48081</v>
      </c>
    </row>
    <row r="2792" spans="1:1">
      <c r="A2792" s="6">
        <f t="shared" si="43"/>
        <v>48082</v>
      </c>
    </row>
    <row r="2793" spans="1:1">
      <c r="A2793" s="6">
        <f t="shared" si="43"/>
        <v>48083</v>
      </c>
    </row>
    <row r="2794" spans="1:1">
      <c r="A2794" s="6">
        <f t="shared" si="43"/>
        <v>48084</v>
      </c>
    </row>
    <row r="2795" spans="1:1">
      <c r="A2795" s="6">
        <f t="shared" si="43"/>
        <v>48085</v>
      </c>
    </row>
    <row r="2796" spans="1:1">
      <c r="A2796" s="6">
        <f t="shared" si="43"/>
        <v>48086</v>
      </c>
    </row>
    <row r="2797" spans="1:1">
      <c r="A2797" s="6">
        <f t="shared" si="43"/>
        <v>48087</v>
      </c>
    </row>
    <row r="2798" spans="1:1">
      <c r="A2798" s="6">
        <f t="shared" si="43"/>
        <v>48088</v>
      </c>
    </row>
    <row r="2799" spans="1:1">
      <c r="A2799" s="6">
        <f t="shared" si="43"/>
        <v>48089</v>
      </c>
    </row>
    <row r="2800" spans="1:1">
      <c r="A2800" s="6">
        <f t="shared" si="43"/>
        <v>48090</v>
      </c>
    </row>
    <row r="2801" spans="1:1">
      <c r="A2801" s="6">
        <f t="shared" si="43"/>
        <v>48091</v>
      </c>
    </row>
    <row r="2802" spans="1:1">
      <c r="A2802" s="6">
        <f t="shared" si="43"/>
        <v>48092</v>
      </c>
    </row>
    <row r="2803" spans="1:1">
      <c r="A2803" s="6">
        <f t="shared" si="43"/>
        <v>48093</v>
      </c>
    </row>
    <row r="2804" spans="1:1">
      <c r="A2804" s="6">
        <f t="shared" si="43"/>
        <v>48094</v>
      </c>
    </row>
    <row r="2805" spans="1:1">
      <c r="A2805" s="6">
        <f t="shared" si="43"/>
        <v>48095</v>
      </c>
    </row>
    <row r="2806" spans="1:1">
      <c r="A2806" s="6">
        <f t="shared" si="43"/>
        <v>48096</v>
      </c>
    </row>
    <row r="2807" spans="1:1">
      <c r="A2807" s="6">
        <f t="shared" ref="A2807:A2870" si="44">A2806+1</f>
        <v>48097</v>
      </c>
    </row>
    <row r="2808" spans="1:1">
      <c r="A2808" s="6">
        <f t="shared" si="44"/>
        <v>48098</v>
      </c>
    </row>
    <row r="2809" spans="1:1">
      <c r="A2809" s="6">
        <f t="shared" si="44"/>
        <v>48099</v>
      </c>
    </row>
    <row r="2810" spans="1:1">
      <c r="A2810" s="6">
        <f t="shared" si="44"/>
        <v>48100</v>
      </c>
    </row>
    <row r="2811" spans="1:1">
      <c r="A2811" s="6">
        <f t="shared" si="44"/>
        <v>48101</v>
      </c>
    </row>
    <row r="2812" spans="1:1">
      <c r="A2812" s="6">
        <f t="shared" si="44"/>
        <v>48102</v>
      </c>
    </row>
    <row r="2813" spans="1:1">
      <c r="A2813" s="6">
        <f t="shared" si="44"/>
        <v>48103</v>
      </c>
    </row>
    <row r="2814" spans="1:1">
      <c r="A2814" s="6">
        <f t="shared" si="44"/>
        <v>48104</v>
      </c>
    </row>
    <row r="2815" spans="1:1">
      <c r="A2815" s="6">
        <f t="shared" si="44"/>
        <v>48105</v>
      </c>
    </row>
    <row r="2816" spans="1:1">
      <c r="A2816" s="6">
        <f t="shared" si="44"/>
        <v>48106</v>
      </c>
    </row>
    <row r="2817" spans="1:1">
      <c r="A2817" s="6">
        <f t="shared" si="44"/>
        <v>48107</v>
      </c>
    </row>
    <row r="2818" spans="1:1">
      <c r="A2818" s="6">
        <f t="shared" si="44"/>
        <v>48108</v>
      </c>
    </row>
    <row r="2819" spans="1:1">
      <c r="A2819" s="6">
        <f t="shared" si="44"/>
        <v>48109</v>
      </c>
    </row>
    <row r="2820" spans="1:1">
      <c r="A2820" s="6">
        <f t="shared" si="44"/>
        <v>48110</v>
      </c>
    </row>
    <row r="2821" spans="1:1">
      <c r="A2821" s="6">
        <f t="shared" si="44"/>
        <v>48111</v>
      </c>
    </row>
    <row r="2822" spans="1:1">
      <c r="A2822" s="6">
        <f t="shared" si="44"/>
        <v>48112</v>
      </c>
    </row>
    <row r="2823" spans="1:1">
      <c r="A2823" s="6">
        <f t="shared" si="44"/>
        <v>48113</v>
      </c>
    </row>
    <row r="2824" spans="1:1">
      <c r="A2824" s="6">
        <f t="shared" si="44"/>
        <v>48114</v>
      </c>
    </row>
    <row r="2825" spans="1:1">
      <c r="A2825" s="6">
        <f t="shared" si="44"/>
        <v>48115</v>
      </c>
    </row>
    <row r="2826" spans="1:1">
      <c r="A2826" s="6">
        <f t="shared" si="44"/>
        <v>48116</v>
      </c>
    </row>
    <row r="2827" spans="1:1">
      <c r="A2827" s="6">
        <f t="shared" si="44"/>
        <v>48117</v>
      </c>
    </row>
    <row r="2828" spans="1:1">
      <c r="A2828" s="6">
        <f t="shared" si="44"/>
        <v>48118</v>
      </c>
    </row>
    <row r="2829" spans="1:1">
      <c r="A2829" s="6">
        <f t="shared" si="44"/>
        <v>48119</v>
      </c>
    </row>
    <row r="2830" spans="1:1">
      <c r="A2830" s="6">
        <f t="shared" si="44"/>
        <v>48120</v>
      </c>
    </row>
    <row r="2831" spans="1:1">
      <c r="A2831" s="6">
        <f t="shared" si="44"/>
        <v>48121</v>
      </c>
    </row>
    <row r="2832" spans="1:1">
      <c r="A2832" s="6">
        <f t="shared" si="44"/>
        <v>48122</v>
      </c>
    </row>
    <row r="2833" spans="1:1">
      <c r="A2833" s="6">
        <f t="shared" si="44"/>
        <v>48123</v>
      </c>
    </row>
    <row r="2834" spans="1:1">
      <c r="A2834" s="6">
        <f t="shared" si="44"/>
        <v>48124</v>
      </c>
    </row>
    <row r="2835" spans="1:1">
      <c r="A2835" s="6">
        <f t="shared" si="44"/>
        <v>48125</v>
      </c>
    </row>
    <row r="2836" spans="1:1">
      <c r="A2836" s="6">
        <f t="shared" si="44"/>
        <v>48126</v>
      </c>
    </row>
    <row r="2837" spans="1:1">
      <c r="A2837" s="6">
        <f t="shared" si="44"/>
        <v>48127</v>
      </c>
    </row>
    <row r="2838" spans="1:1">
      <c r="A2838" s="6">
        <f t="shared" si="44"/>
        <v>48128</v>
      </c>
    </row>
    <row r="2839" spans="1:1">
      <c r="A2839" s="6">
        <f t="shared" si="44"/>
        <v>48129</v>
      </c>
    </row>
    <row r="2840" spans="1:1">
      <c r="A2840" s="6">
        <f t="shared" si="44"/>
        <v>48130</v>
      </c>
    </row>
    <row r="2841" spans="1:1">
      <c r="A2841" s="6">
        <f t="shared" si="44"/>
        <v>48131</v>
      </c>
    </row>
    <row r="2842" spans="1:1">
      <c r="A2842" s="6">
        <f t="shared" si="44"/>
        <v>48132</v>
      </c>
    </row>
    <row r="2843" spans="1:1">
      <c r="A2843" s="6">
        <f t="shared" si="44"/>
        <v>48133</v>
      </c>
    </row>
    <row r="2844" spans="1:1">
      <c r="A2844" s="6">
        <f t="shared" si="44"/>
        <v>48134</v>
      </c>
    </row>
    <row r="2845" spans="1:1">
      <c r="A2845" s="6">
        <f t="shared" si="44"/>
        <v>48135</v>
      </c>
    </row>
    <row r="2846" spans="1:1">
      <c r="A2846" s="6">
        <f t="shared" si="44"/>
        <v>48136</v>
      </c>
    </row>
    <row r="2847" spans="1:1">
      <c r="A2847" s="6">
        <f t="shared" si="44"/>
        <v>48137</v>
      </c>
    </row>
    <row r="2848" spans="1:1">
      <c r="A2848" s="6">
        <f t="shared" si="44"/>
        <v>48138</v>
      </c>
    </row>
    <row r="2849" spans="1:1">
      <c r="A2849" s="6">
        <f t="shared" si="44"/>
        <v>48139</v>
      </c>
    </row>
    <row r="2850" spans="1:1">
      <c r="A2850" s="6">
        <f t="shared" si="44"/>
        <v>48140</v>
      </c>
    </row>
    <row r="2851" spans="1:1">
      <c r="A2851" s="6">
        <f t="shared" si="44"/>
        <v>48141</v>
      </c>
    </row>
    <row r="2852" spans="1:1">
      <c r="A2852" s="6">
        <f t="shared" si="44"/>
        <v>48142</v>
      </c>
    </row>
    <row r="2853" spans="1:1">
      <c r="A2853" s="6">
        <f t="shared" si="44"/>
        <v>48143</v>
      </c>
    </row>
    <row r="2854" spans="1:1">
      <c r="A2854" s="6">
        <f t="shared" si="44"/>
        <v>48144</v>
      </c>
    </row>
    <row r="2855" spans="1:1">
      <c r="A2855" s="6">
        <f t="shared" si="44"/>
        <v>48145</v>
      </c>
    </row>
    <row r="2856" spans="1:1">
      <c r="A2856" s="6">
        <f t="shared" si="44"/>
        <v>48146</v>
      </c>
    </row>
    <row r="2857" spans="1:1">
      <c r="A2857" s="6">
        <f t="shared" si="44"/>
        <v>48147</v>
      </c>
    </row>
    <row r="2858" spans="1:1">
      <c r="A2858" s="6">
        <f t="shared" si="44"/>
        <v>48148</v>
      </c>
    </row>
    <row r="2859" spans="1:1">
      <c r="A2859" s="6">
        <f t="shared" si="44"/>
        <v>48149</v>
      </c>
    </row>
    <row r="2860" spans="1:1">
      <c r="A2860" s="6">
        <f t="shared" si="44"/>
        <v>48150</v>
      </c>
    </row>
    <row r="2861" spans="1:1">
      <c r="A2861" s="6">
        <f t="shared" si="44"/>
        <v>48151</v>
      </c>
    </row>
    <row r="2862" spans="1:1">
      <c r="A2862" s="6">
        <f t="shared" si="44"/>
        <v>48152</v>
      </c>
    </row>
    <row r="2863" spans="1:1">
      <c r="A2863" s="6">
        <f t="shared" si="44"/>
        <v>48153</v>
      </c>
    </row>
    <row r="2864" spans="1:1">
      <c r="A2864" s="6">
        <f t="shared" si="44"/>
        <v>48154</v>
      </c>
    </row>
    <row r="2865" spans="1:1">
      <c r="A2865" s="6">
        <f t="shared" si="44"/>
        <v>48155</v>
      </c>
    </row>
    <row r="2866" spans="1:1">
      <c r="A2866" s="6">
        <f t="shared" si="44"/>
        <v>48156</v>
      </c>
    </row>
    <row r="2867" spans="1:1">
      <c r="A2867" s="6">
        <f t="shared" si="44"/>
        <v>48157</v>
      </c>
    </row>
    <row r="2868" spans="1:1">
      <c r="A2868" s="6">
        <f t="shared" si="44"/>
        <v>48158</v>
      </c>
    </row>
    <row r="2869" spans="1:1">
      <c r="A2869" s="6">
        <f t="shared" si="44"/>
        <v>48159</v>
      </c>
    </row>
    <row r="2870" spans="1:1">
      <c r="A2870" s="6">
        <f t="shared" si="44"/>
        <v>48160</v>
      </c>
    </row>
    <row r="2871" spans="1:1">
      <c r="A2871" s="6">
        <f t="shared" ref="A2871:A2934" si="45">A2870+1</f>
        <v>48161</v>
      </c>
    </row>
    <row r="2872" spans="1:1">
      <c r="A2872" s="6">
        <f t="shared" si="45"/>
        <v>48162</v>
      </c>
    </row>
    <row r="2873" spans="1:1">
      <c r="A2873" s="6">
        <f t="shared" si="45"/>
        <v>48163</v>
      </c>
    </row>
    <row r="2874" spans="1:1">
      <c r="A2874" s="6">
        <f t="shared" si="45"/>
        <v>48164</v>
      </c>
    </row>
    <row r="2875" spans="1:1">
      <c r="A2875" s="6">
        <f t="shared" si="45"/>
        <v>48165</v>
      </c>
    </row>
    <row r="2876" spans="1:1">
      <c r="A2876" s="6">
        <f t="shared" si="45"/>
        <v>48166</v>
      </c>
    </row>
    <row r="2877" spans="1:1">
      <c r="A2877" s="6">
        <f t="shared" si="45"/>
        <v>48167</v>
      </c>
    </row>
    <row r="2878" spans="1:1">
      <c r="A2878" s="6">
        <f t="shared" si="45"/>
        <v>48168</v>
      </c>
    </row>
    <row r="2879" spans="1:1">
      <c r="A2879" s="6">
        <f t="shared" si="45"/>
        <v>48169</v>
      </c>
    </row>
    <row r="2880" spans="1:1">
      <c r="A2880" s="6">
        <f t="shared" si="45"/>
        <v>48170</v>
      </c>
    </row>
    <row r="2881" spans="1:1">
      <c r="A2881" s="6">
        <f t="shared" si="45"/>
        <v>48171</v>
      </c>
    </row>
    <row r="2882" spans="1:1">
      <c r="A2882" s="6">
        <f t="shared" si="45"/>
        <v>48172</v>
      </c>
    </row>
    <row r="2883" spans="1:1">
      <c r="A2883" s="6">
        <f t="shared" si="45"/>
        <v>48173</v>
      </c>
    </row>
    <row r="2884" spans="1:1">
      <c r="A2884" s="6">
        <f t="shared" si="45"/>
        <v>48174</v>
      </c>
    </row>
    <row r="2885" spans="1:1">
      <c r="A2885" s="6">
        <f t="shared" si="45"/>
        <v>48175</v>
      </c>
    </row>
    <row r="2886" spans="1:1">
      <c r="A2886" s="6">
        <f t="shared" si="45"/>
        <v>48176</v>
      </c>
    </row>
    <row r="2887" spans="1:1">
      <c r="A2887" s="6">
        <f t="shared" si="45"/>
        <v>48177</v>
      </c>
    </row>
    <row r="2888" spans="1:1">
      <c r="A2888" s="6">
        <f t="shared" si="45"/>
        <v>48178</v>
      </c>
    </row>
    <row r="2889" spans="1:1">
      <c r="A2889" s="6">
        <f t="shared" si="45"/>
        <v>48179</v>
      </c>
    </row>
    <row r="2890" spans="1:1">
      <c r="A2890" s="6">
        <f t="shared" si="45"/>
        <v>48180</v>
      </c>
    </row>
    <row r="2891" spans="1:1">
      <c r="A2891" s="6">
        <f t="shared" si="45"/>
        <v>48181</v>
      </c>
    </row>
    <row r="2892" spans="1:1">
      <c r="A2892" s="6">
        <f t="shared" si="45"/>
        <v>48182</v>
      </c>
    </row>
    <row r="2893" spans="1:1">
      <c r="A2893" s="6">
        <f t="shared" si="45"/>
        <v>48183</v>
      </c>
    </row>
    <row r="2894" spans="1:1">
      <c r="A2894" s="6">
        <f t="shared" si="45"/>
        <v>48184</v>
      </c>
    </row>
    <row r="2895" spans="1:1">
      <c r="A2895" s="6">
        <f t="shared" si="45"/>
        <v>48185</v>
      </c>
    </row>
    <row r="2896" spans="1:1">
      <c r="A2896" s="6">
        <f t="shared" si="45"/>
        <v>48186</v>
      </c>
    </row>
    <row r="2897" spans="1:1">
      <c r="A2897" s="6">
        <f t="shared" si="45"/>
        <v>48187</v>
      </c>
    </row>
    <row r="2898" spans="1:1">
      <c r="A2898" s="6">
        <f t="shared" si="45"/>
        <v>48188</v>
      </c>
    </row>
    <row r="2899" spans="1:1">
      <c r="A2899" s="6">
        <f t="shared" si="45"/>
        <v>48189</v>
      </c>
    </row>
    <row r="2900" spans="1:1">
      <c r="A2900" s="6">
        <f t="shared" si="45"/>
        <v>48190</v>
      </c>
    </row>
    <row r="2901" spans="1:1">
      <c r="A2901" s="6">
        <f t="shared" si="45"/>
        <v>48191</v>
      </c>
    </row>
    <row r="2902" spans="1:1">
      <c r="A2902" s="6">
        <f t="shared" si="45"/>
        <v>48192</v>
      </c>
    </row>
    <row r="2903" spans="1:1">
      <c r="A2903" s="6">
        <f t="shared" si="45"/>
        <v>48193</v>
      </c>
    </row>
    <row r="2904" spans="1:1">
      <c r="A2904" s="6">
        <f t="shared" si="45"/>
        <v>48194</v>
      </c>
    </row>
    <row r="2905" spans="1:1">
      <c r="A2905" s="6">
        <f t="shared" si="45"/>
        <v>48195</v>
      </c>
    </row>
    <row r="2906" spans="1:1">
      <c r="A2906" s="6">
        <f t="shared" si="45"/>
        <v>48196</v>
      </c>
    </row>
    <row r="2907" spans="1:1">
      <c r="A2907" s="6">
        <f t="shared" si="45"/>
        <v>48197</v>
      </c>
    </row>
    <row r="2908" spans="1:1">
      <c r="A2908" s="6">
        <f t="shared" si="45"/>
        <v>48198</v>
      </c>
    </row>
    <row r="2909" spans="1:1">
      <c r="A2909" s="6">
        <f t="shared" si="45"/>
        <v>48199</v>
      </c>
    </row>
    <row r="2910" spans="1:1">
      <c r="A2910" s="6">
        <f t="shared" si="45"/>
        <v>48200</v>
      </c>
    </row>
    <row r="2911" spans="1:1">
      <c r="A2911" s="6">
        <f t="shared" si="45"/>
        <v>48201</v>
      </c>
    </row>
    <row r="2912" spans="1:1">
      <c r="A2912" s="6">
        <f t="shared" si="45"/>
        <v>48202</v>
      </c>
    </row>
    <row r="2913" spans="1:1">
      <c r="A2913" s="6">
        <f t="shared" si="45"/>
        <v>48203</v>
      </c>
    </row>
    <row r="2914" spans="1:1">
      <c r="A2914" s="6">
        <f t="shared" si="45"/>
        <v>48204</v>
      </c>
    </row>
    <row r="2915" spans="1:1">
      <c r="A2915" s="6">
        <f t="shared" si="45"/>
        <v>48205</v>
      </c>
    </row>
    <row r="2916" spans="1:1">
      <c r="A2916" s="6">
        <f t="shared" si="45"/>
        <v>48206</v>
      </c>
    </row>
    <row r="2917" spans="1:1">
      <c r="A2917" s="6">
        <f t="shared" si="45"/>
        <v>48207</v>
      </c>
    </row>
    <row r="2918" spans="1:1">
      <c r="A2918" s="6">
        <f t="shared" si="45"/>
        <v>48208</v>
      </c>
    </row>
    <row r="2919" spans="1:1">
      <c r="A2919" s="6">
        <f t="shared" si="45"/>
        <v>48209</v>
      </c>
    </row>
    <row r="2920" spans="1:1">
      <c r="A2920" s="6">
        <f t="shared" si="45"/>
        <v>48210</v>
      </c>
    </row>
    <row r="2921" spans="1:1">
      <c r="A2921" s="6">
        <f t="shared" si="45"/>
        <v>48211</v>
      </c>
    </row>
    <row r="2922" spans="1:1">
      <c r="A2922" s="6">
        <f t="shared" si="45"/>
        <v>48212</v>
      </c>
    </row>
    <row r="2923" spans="1:1">
      <c r="A2923" s="6">
        <f t="shared" si="45"/>
        <v>48213</v>
      </c>
    </row>
    <row r="2924" spans="1:1">
      <c r="A2924" s="6">
        <f t="shared" si="45"/>
        <v>48214</v>
      </c>
    </row>
    <row r="2925" spans="1:1">
      <c r="A2925" s="6">
        <f t="shared" si="45"/>
        <v>48215</v>
      </c>
    </row>
    <row r="2926" spans="1:1">
      <c r="A2926" s="6">
        <f t="shared" si="45"/>
        <v>48216</v>
      </c>
    </row>
    <row r="2927" spans="1:1">
      <c r="A2927" s="6">
        <f t="shared" si="45"/>
        <v>48217</v>
      </c>
    </row>
    <row r="2928" spans="1:1">
      <c r="A2928" s="6">
        <f t="shared" si="45"/>
        <v>48218</v>
      </c>
    </row>
    <row r="2929" spans="1:1">
      <c r="A2929" s="6">
        <f t="shared" si="45"/>
        <v>48219</v>
      </c>
    </row>
    <row r="2930" spans="1:1">
      <c r="A2930" s="6">
        <f t="shared" si="45"/>
        <v>48220</v>
      </c>
    </row>
    <row r="2931" spans="1:1">
      <c r="A2931" s="6">
        <f t="shared" si="45"/>
        <v>48221</v>
      </c>
    </row>
    <row r="2932" spans="1:1">
      <c r="A2932" s="6">
        <f t="shared" si="45"/>
        <v>48222</v>
      </c>
    </row>
    <row r="2933" spans="1:1">
      <c r="A2933" s="6">
        <f t="shared" si="45"/>
        <v>48223</v>
      </c>
    </row>
    <row r="2934" spans="1:1">
      <c r="A2934" s="6">
        <f t="shared" si="45"/>
        <v>48224</v>
      </c>
    </row>
    <row r="2935" spans="1:1">
      <c r="A2935" s="6">
        <f t="shared" ref="A2935:A2959" si="46">A2934+1</f>
        <v>48225</v>
      </c>
    </row>
    <row r="2936" spans="1:1">
      <c r="A2936" s="6">
        <f t="shared" si="46"/>
        <v>48226</v>
      </c>
    </row>
    <row r="2937" spans="1:1">
      <c r="A2937" s="6">
        <f t="shared" si="46"/>
        <v>48227</v>
      </c>
    </row>
    <row r="2938" spans="1:1">
      <c r="A2938" s="6">
        <f t="shared" si="46"/>
        <v>48228</v>
      </c>
    </row>
    <row r="2939" spans="1:1">
      <c r="A2939" s="6">
        <f t="shared" si="46"/>
        <v>48229</v>
      </c>
    </row>
    <row r="2940" spans="1:1">
      <c r="A2940" s="6">
        <f t="shared" si="46"/>
        <v>48230</v>
      </c>
    </row>
    <row r="2941" spans="1:1">
      <c r="A2941" s="6">
        <f t="shared" si="46"/>
        <v>48231</v>
      </c>
    </row>
    <row r="2942" spans="1:1">
      <c r="A2942" s="6">
        <f t="shared" si="46"/>
        <v>48232</v>
      </c>
    </row>
    <row r="2943" spans="1:1">
      <c r="A2943" s="6">
        <f t="shared" si="46"/>
        <v>48233</v>
      </c>
    </row>
    <row r="2944" spans="1:1">
      <c r="A2944" s="6">
        <f t="shared" si="46"/>
        <v>48234</v>
      </c>
    </row>
    <row r="2945" spans="1:1">
      <c r="A2945" s="6">
        <f t="shared" si="46"/>
        <v>48235</v>
      </c>
    </row>
    <row r="2946" spans="1:1">
      <c r="A2946" s="6">
        <f t="shared" si="46"/>
        <v>48236</v>
      </c>
    </row>
    <row r="2947" spans="1:1">
      <c r="A2947" s="6">
        <f t="shared" si="46"/>
        <v>48237</v>
      </c>
    </row>
    <row r="2948" spans="1:1">
      <c r="A2948" s="6">
        <f t="shared" si="46"/>
        <v>48238</v>
      </c>
    </row>
    <row r="2949" spans="1:1">
      <c r="A2949" s="6">
        <f t="shared" si="46"/>
        <v>48239</v>
      </c>
    </row>
    <row r="2950" spans="1:1">
      <c r="A2950" s="6">
        <f t="shared" si="46"/>
        <v>48240</v>
      </c>
    </row>
    <row r="2951" spans="1:1">
      <c r="A2951" s="6">
        <f t="shared" si="46"/>
        <v>48241</v>
      </c>
    </row>
    <row r="2952" spans="1:1">
      <c r="A2952" s="6">
        <f t="shared" si="46"/>
        <v>48242</v>
      </c>
    </row>
    <row r="2953" spans="1:1">
      <c r="A2953" s="6">
        <f t="shared" si="46"/>
        <v>48243</v>
      </c>
    </row>
    <row r="2954" spans="1:1">
      <c r="A2954" s="6">
        <f t="shared" si="46"/>
        <v>48244</v>
      </c>
    </row>
    <row r="2955" spans="1:1">
      <c r="A2955" s="6">
        <f t="shared" si="46"/>
        <v>48245</v>
      </c>
    </row>
    <row r="2956" spans="1:1">
      <c r="A2956" s="6">
        <f t="shared" si="46"/>
        <v>48246</v>
      </c>
    </row>
    <row r="2957" spans="1:1">
      <c r="A2957" s="6">
        <f t="shared" si="46"/>
        <v>48247</v>
      </c>
    </row>
    <row r="2958" spans="1:1">
      <c r="A2958" s="6">
        <f t="shared" si="46"/>
        <v>48248</v>
      </c>
    </row>
    <row r="2959" spans="1:1">
      <c r="A2959" s="6">
        <f t="shared" si="46"/>
        <v>48249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6BCF-EE1C-4FE6-ADC4-B35495207FF6}">
  <dimension ref="A1:H786"/>
  <sheetViews>
    <sheetView workbookViewId="0">
      <pane ySplit="1" topLeftCell="A778" activePane="bottomLeft" state="frozen"/>
      <selection pane="bottomLeft" activeCell="D792" sqref="D792"/>
    </sheetView>
  </sheetViews>
  <sheetFormatPr defaultRowHeight="14.4"/>
  <cols>
    <col min="1" max="1" width="12.33203125" style="46" customWidth="1"/>
    <col min="2" max="2" width="16.6640625" style="5" customWidth="1"/>
    <col min="3" max="3" width="27.77734375" customWidth="1"/>
    <col min="4" max="4" width="11.109375" customWidth="1"/>
    <col min="5" max="5" width="16.6640625" style="7" customWidth="1"/>
    <col min="6" max="6" width="16.21875" customWidth="1"/>
    <col min="7" max="7" width="23.21875" style="71" bestFit="1" customWidth="1"/>
    <col min="8" max="8" width="19" bestFit="1" customWidth="1"/>
  </cols>
  <sheetData>
    <row r="1" spans="1:8">
      <c r="A1" t="s">
        <v>186</v>
      </c>
      <c r="B1" t="s">
        <v>5</v>
      </c>
      <c r="C1" t="s">
        <v>185</v>
      </c>
      <c r="D1" t="s">
        <v>187</v>
      </c>
      <c r="E1" t="s">
        <v>188</v>
      </c>
      <c r="F1" t="s">
        <v>135</v>
      </c>
      <c r="G1" t="s">
        <v>189</v>
      </c>
      <c r="H1" t="s">
        <v>87</v>
      </c>
    </row>
    <row r="2" spans="1:8">
      <c r="A2">
        <v>1</v>
      </c>
      <c r="B2" s="5">
        <v>45662</v>
      </c>
      <c r="C2" t="s">
        <v>456</v>
      </c>
      <c r="D2" s="170">
        <v>1</v>
      </c>
      <c r="E2" s="7">
        <v>450</v>
      </c>
      <c r="F2" s="170" t="s">
        <v>498</v>
      </c>
      <c r="G2" s="5">
        <v>45672.125</v>
      </c>
      <c r="H2" t="s">
        <v>391</v>
      </c>
    </row>
    <row r="3" spans="1:8">
      <c r="A3">
        <v>2</v>
      </c>
      <c r="B3" s="5">
        <v>45667</v>
      </c>
      <c r="C3" t="s">
        <v>457</v>
      </c>
      <c r="D3" s="170">
        <v>1</v>
      </c>
      <c r="E3" s="7">
        <v>296.66666666666669</v>
      </c>
      <c r="F3" s="170" t="s">
        <v>498</v>
      </c>
      <c r="G3" s="5">
        <v>45693.125</v>
      </c>
      <c r="H3" t="s">
        <v>390</v>
      </c>
    </row>
    <row r="4" spans="1:8">
      <c r="A4">
        <v>2</v>
      </c>
      <c r="B4" s="5">
        <v>45667</v>
      </c>
      <c r="C4" t="s">
        <v>457</v>
      </c>
      <c r="D4" s="170">
        <v>2</v>
      </c>
      <c r="E4" s="7">
        <v>296.66666666666669</v>
      </c>
      <c r="F4" s="170" t="s">
        <v>499</v>
      </c>
      <c r="G4" s="5">
        <v>45721.125</v>
      </c>
      <c r="H4" t="s">
        <v>390</v>
      </c>
    </row>
    <row r="5" spans="1:8">
      <c r="A5">
        <v>2</v>
      </c>
      <c r="B5" s="5">
        <v>45667</v>
      </c>
      <c r="C5" t="s">
        <v>457</v>
      </c>
      <c r="D5" s="170">
        <v>3</v>
      </c>
      <c r="E5" s="7">
        <v>296.66666666666669</v>
      </c>
      <c r="F5" s="170" t="s">
        <v>500</v>
      </c>
      <c r="G5" s="5">
        <v>45752.125</v>
      </c>
      <c r="H5" t="s">
        <v>390</v>
      </c>
    </row>
    <row r="6" spans="1:8">
      <c r="A6">
        <v>3</v>
      </c>
      <c r="B6" s="5">
        <v>45672</v>
      </c>
      <c r="C6" t="s">
        <v>459</v>
      </c>
      <c r="D6" s="170">
        <v>1</v>
      </c>
      <c r="E6" s="7">
        <v>600</v>
      </c>
      <c r="F6" s="170" t="s">
        <v>499</v>
      </c>
      <c r="G6" s="5">
        <v>45707.125</v>
      </c>
      <c r="H6" t="s">
        <v>392</v>
      </c>
    </row>
    <row r="7" spans="1:8">
      <c r="A7">
        <v>3</v>
      </c>
      <c r="B7" s="5">
        <v>45672</v>
      </c>
      <c r="C7" t="s">
        <v>459</v>
      </c>
      <c r="D7" s="170">
        <v>2</v>
      </c>
      <c r="E7" s="7">
        <v>600</v>
      </c>
      <c r="F7" s="170" t="s">
        <v>500</v>
      </c>
      <c r="G7" s="5">
        <v>45735.125</v>
      </c>
      <c r="H7" t="s">
        <v>392</v>
      </c>
    </row>
    <row r="8" spans="1:8">
      <c r="A8">
        <v>3</v>
      </c>
      <c r="B8" s="5">
        <v>45672</v>
      </c>
      <c r="C8" t="s">
        <v>459</v>
      </c>
      <c r="D8" s="170">
        <v>3</v>
      </c>
      <c r="E8" s="7">
        <v>600</v>
      </c>
      <c r="F8" s="170" t="s">
        <v>501</v>
      </c>
      <c r="G8" s="5">
        <v>45766.125</v>
      </c>
      <c r="H8" t="s">
        <v>392</v>
      </c>
    </row>
    <row r="9" spans="1:8">
      <c r="A9">
        <v>3</v>
      </c>
      <c r="B9" s="5">
        <v>45672</v>
      </c>
      <c r="C9" t="s">
        <v>459</v>
      </c>
      <c r="D9" s="170">
        <v>4</v>
      </c>
      <c r="E9" s="7">
        <v>600</v>
      </c>
      <c r="F9" s="170" t="s">
        <v>325</v>
      </c>
      <c r="G9" s="5">
        <v>45796.125</v>
      </c>
      <c r="H9" t="s">
        <v>392</v>
      </c>
    </row>
    <row r="10" spans="1:8">
      <c r="A10">
        <v>3</v>
      </c>
      <c r="B10" s="5">
        <v>45672</v>
      </c>
      <c r="C10" t="s">
        <v>459</v>
      </c>
      <c r="D10" s="170">
        <v>5</v>
      </c>
      <c r="E10" s="7">
        <v>600</v>
      </c>
      <c r="F10" s="170" t="s">
        <v>502</v>
      </c>
      <c r="G10" s="5">
        <v>45827.125</v>
      </c>
      <c r="H10" t="s">
        <v>392</v>
      </c>
    </row>
    <row r="11" spans="1:8">
      <c r="A11">
        <v>3</v>
      </c>
      <c r="B11" s="5">
        <v>45672</v>
      </c>
      <c r="C11" t="s">
        <v>459</v>
      </c>
      <c r="D11" s="170">
        <v>6</v>
      </c>
      <c r="E11" s="7">
        <v>600</v>
      </c>
      <c r="F11" s="170" t="s">
        <v>503</v>
      </c>
      <c r="G11" s="5">
        <v>45857.125</v>
      </c>
      <c r="H11" t="s">
        <v>392</v>
      </c>
    </row>
    <row r="12" spans="1:8">
      <c r="A12">
        <v>4</v>
      </c>
      <c r="B12" s="5">
        <v>45677</v>
      </c>
      <c r="C12" t="s">
        <v>461</v>
      </c>
      <c r="D12" s="170">
        <v>1</v>
      </c>
      <c r="E12" s="7">
        <v>450</v>
      </c>
      <c r="F12" s="170" t="s">
        <v>499</v>
      </c>
      <c r="G12" s="5">
        <v>45703.125</v>
      </c>
      <c r="H12" t="s">
        <v>391</v>
      </c>
    </row>
    <row r="13" spans="1:8">
      <c r="A13">
        <v>4</v>
      </c>
      <c r="B13" s="5">
        <v>45677</v>
      </c>
      <c r="C13" t="s">
        <v>461</v>
      </c>
      <c r="D13" s="170">
        <v>2</v>
      </c>
      <c r="E13" s="7">
        <v>450</v>
      </c>
      <c r="F13" s="170" t="s">
        <v>500</v>
      </c>
      <c r="G13" s="5">
        <v>45731.125</v>
      </c>
      <c r="H13" t="s">
        <v>391</v>
      </c>
    </row>
    <row r="14" spans="1:8">
      <c r="A14">
        <v>4</v>
      </c>
      <c r="B14" s="5">
        <v>45677</v>
      </c>
      <c r="C14" t="s">
        <v>461</v>
      </c>
      <c r="D14" s="170">
        <v>3</v>
      </c>
      <c r="E14" s="7">
        <v>450</v>
      </c>
      <c r="F14" s="170" t="s">
        <v>501</v>
      </c>
      <c r="G14" s="5">
        <v>45762.125</v>
      </c>
      <c r="H14" t="s">
        <v>391</v>
      </c>
    </row>
    <row r="15" spans="1:8">
      <c r="A15">
        <v>4</v>
      </c>
      <c r="B15" s="5">
        <v>45677</v>
      </c>
      <c r="C15" t="s">
        <v>461</v>
      </c>
      <c r="D15" s="170">
        <v>4</v>
      </c>
      <c r="E15" s="7">
        <v>450</v>
      </c>
      <c r="F15" s="170" t="s">
        <v>325</v>
      </c>
      <c r="G15" s="5">
        <v>45792.125</v>
      </c>
      <c r="H15" t="s">
        <v>391</v>
      </c>
    </row>
    <row r="16" spans="1:8">
      <c r="A16">
        <v>4</v>
      </c>
      <c r="B16" s="5">
        <v>45677</v>
      </c>
      <c r="C16" t="s">
        <v>461</v>
      </c>
      <c r="D16" s="170">
        <v>5</v>
      </c>
      <c r="E16" s="7">
        <v>450</v>
      </c>
      <c r="F16" s="170" t="s">
        <v>502</v>
      </c>
      <c r="G16" s="5">
        <v>45823.125</v>
      </c>
      <c r="H16" t="s">
        <v>391</v>
      </c>
    </row>
    <row r="17" spans="1:8">
      <c r="A17">
        <v>4</v>
      </c>
      <c r="B17" s="5">
        <v>45677</v>
      </c>
      <c r="C17" t="s">
        <v>461</v>
      </c>
      <c r="D17" s="170">
        <v>6</v>
      </c>
      <c r="E17" s="7">
        <v>450</v>
      </c>
      <c r="F17" s="170" t="s">
        <v>503</v>
      </c>
      <c r="G17" s="5">
        <v>45853.125</v>
      </c>
      <c r="H17" t="s">
        <v>391</v>
      </c>
    </row>
    <row r="18" spans="1:8">
      <c r="A18">
        <v>4</v>
      </c>
      <c r="B18" s="5">
        <v>45677</v>
      </c>
      <c r="C18" t="s">
        <v>461</v>
      </c>
      <c r="D18" s="170">
        <v>7</v>
      </c>
      <c r="E18" s="7">
        <v>450</v>
      </c>
      <c r="F18" s="170" t="s">
        <v>319</v>
      </c>
      <c r="G18" s="5">
        <v>45884.125</v>
      </c>
      <c r="H18" t="s">
        <v>391</v>
      </c>
    </row>
    <row r="19" spans="1:8">
      <c r="A19">
        <v>4</v>
      </c>
      <c r="B19" s="5">
        <v>45677</v>
      </c>
      <c r="C19" t="s">
        <v>461</v>
      </c>
      <c r="D19" s="170">
        <v>8</v>
      </c>
      <c r="E19" s="7">
        <v>450</v>
      </c>
      <c r="F19" s="170" t="s">
        <v>320</v>
      </c>
      <c r="G19" s="5">
        <v>45915.125</v>
      </c>
      <c r="H19" t="s">
        <v>391</v>
      </c>
    </row>
    <row r="20" spans="1:8">
      <c r="A20">
        <v>4</v>
      </c>
      <c r="B20" s="5">
        <v>45677</v>
      </c>
      <c r="C20" t="s">
        <v>461</v>
      </c>
      <c r="D20" s="170">
        <v>9</v>
      </c>
      <c r="E20" s="7">
        <v>450</v>
      </c>
      <c r="F20" s="170" t="s">
        <v>321</v>
      </c>
      <c r="G20" s="5">
        <v>45945.125</v>
      </c>
      <c r="H20" t="s">
        <v>391</v>
      </c>
    </row>
    <row r="21" spans="1:8">
      <c r="A21">
        <v>4</v>
      </c>
      <c r="B21" s="5">
        <v>45677</v>
      </c>
      <c r="C21" t="s">
        <v>461</v>
      </c>
      <c r="D21" s="170">
        <v>10</v>
      </c>
      <c r="E21" s="7">
        <v>450</v>
      </c>
      <c r="F21" s="170" t="s">
        <v>335</v>
      </c>
      <c r="G21" s="5">
        <v>45976.125</v>
      </c>
      <c r="H21" t="s">
        <v>391</v>
      </c>
    </row>
    <row r="22" spans="1:8">
      <c r="A22">
        <v>5</v>
      </c>
      <c r="B22" s="5">
        <v>45691</v>
      </c>
      <c r="C22" t="s">
        <v>463</v>
      </c>
      <c r="D22" s="170">
        <v>1</v>
      </c>
      <c r="E22" s="7">
        <v>297</v>
      </c>
      <c r="F22" s="170" t="s">
        <v>499</v>
      </c>
      <c r="G22" s="5">
        <v>45721.125</v>
      </c>
      <c r="H22" t="s">
        <v>390</v>
      </c>
    </row>
    <row r="23" spans="1:8">
      <c r="A23">
        <v>6</v>
      </c>
      <c r="B23" s="5">
        <v>45702</v>
      </c>
      <c r="C23" t="s">
        <v>464</v>
      </c>
      <c r="D23" s="170">
        <v>1</v>
      </c>
      <c r="E23" s="7">
        <v>380</v>
      </c>
      <c r="F23" s="170" t="s">
        <v>500</v>
      </c>
      <c r="G23" s="5">
        <v>45735.125</v>
      </c>
      <c r="H23" t="s">
        <v>392</v>
      </c>
    </row>
    <row r="24" spans="1:8">
      <c r="A24">
        <v>7</v>
      </c>
      <c r="B24" s="5">
        <v>45708</v>
      </c>
      <c r="C24" t="s">
        <v>466</v>
      </c>
      <c r="D24" s="170">
        <v>1</v>
      </c>
      <c r="E24" s="7">
        <v>300</v>
      </c>
      <c r="F24" s="170" t="s">
        <v>500</v>
      </c>
      <c r="G24" s="5">
        <v>45731.125</v>
      </c>
      <c r="H24" t="s">
        <v>391</v>
      </c>
    </row>
    <row r="25" spans="1:8">
      <c r="A25">
        <v>7</v>
      </c>
      <c r="B25" s="5">
        <v>45708</v>
      </c>
      <c r="C25" t="s">
        <v>466</v>
      </c>
      <c r="D25" s="170">
        <v>2</v>
      </c>
      <c r="E25" s="7">
        <v>300</v>
      </c>
      <c r="F25" s="170" t="s">
        <v>501</v>
      </c>
      <c r="G25" s="5">
        <v>45762.125</v>
      </c>
      <c r="H25" t="s">
        <v>391</v>
      </c>
    </row>
    <row r="26" spans="1:8">
      <c r="A26">
        <v>7</v>
      </c>
      <c r="B26" s="5">
        <v>45708</v>
      </c>
      <c r="C26" t="s">
        <v>466</v>
      </c>
      <c r="D26" s="170">
        <v>3</v>
      </c>
      <c r="E26" s="7">
        <v>300</v>
      </c>
      <c r="F26" s="170" t="s">
        <v>325</v>
      </c>
      <c r="G26" s="5">
        <v>45792.125</v>
      </c>
      <c r="H26" t="s">
        <v>391</v>
      </c>
    </row>
    <row r="27" spans="1:8">
      <c r="A27">
        <v>7</v>
      </c>
      <c r="B27" s="5">
        <v>45708</v>
      </c>
      <c r="C27" t="s">
        <v>466</v>
      </c>
      <c r="D27" s="170">
        <v>4</v>
      </c>
      <c r="E27" s="7">
        <v>300</v>
      </c>
      <c r="F27" s="170" t="s">
        <v>502</v>
      </c>
      <c r="G27" s="5">
        <v>45823.125</v>
      </c>
      <c r="H27" t="s">
        <v>391</v>
      </c>
    </row>
    <row r="28" spans="1:8">
      <c r="A28">
        <v>8</v>
      </c>
      <c r="B28" s="5">
        <v>45721</v>
      </c>
      <c r="C28" t="s">
        <v>467</v>
      </c>
      <c r="D28" s="170">
        <v>1</v>
      </c>
      <c r="E28" s="7">
        <v>616.66666666666663</v>
      </c>
      <c r="F28" s="170" t="s">
        <v>500</v>
      </c>
      <c r="G28" s="5">
        <v>45752.125</v>
      </c>
      <c r="H28" t="s">
        <v>390</v>
      </c>
    </row>
    <row r="29" spans="1:8">
      <c r="A29">
        <v>8</v>
      </c>
      <c r="B29" s="5">
        <v>45721</v>
      </c>
      <c r="C29" t="s">
        <v>467</v>
      </c>
      <c r="D29" s="170">
        <v>2</v>
      </c>
      <c r="E29" s="7">
        <v>616.66666666666663</v>
      </c>
      <c r="F29" s="170" t="s">
        <v>501</v>
      </c>
      <c r="G29" s="5">
        <v>45782.125</v>
      </c>
      <c r="H29" t="s">
        <v>390</v>
      </c>
    </row>
    <row r="30" spans="1:8">
      <c r="A30">
        <v>8</v>
      </c>
      <c r="B30" s="5">
        <v>45721</v>
      </c>
      <c r="C30" t="s">
        <v>467</v>
      </c>
      <c r="D30" s="170">
        <v>3</v>
      </c>
      <c r="E30" s="7">
        <v>616.66666666666663</v>
      </c>
      <c r="F30" s="170" t="s">
        <v>325</v>
      </c>
      <c r="G30" s="5">
        <v>45813.125</v>
      </c>
      <c r="H30" t="s">
        <v>390</v>
      </c>
    </row>
    <row r="31" spans="1:8">
      <c r="A31">
        <v>9</v>
      </c>
      <c r="B31" s="5">
        <v>45728</v>
      </c>
      <c r="C31" t="s">
        <v>468</v>
      </c>
      <c r="D31" s="170">
        <v>1</v>
      </c>
      <c r="E31" s="7">
        <v>650</v>
      </c>
      <c r="F31" s="170" t="s">
        <v>501</v>
      </c>
      <c r="G31" s="5">
        <v>45766.125</v>
      </c>
      <c r="H31" t="s">
        <v>392</v>
      </c>
    </row>
    <row r="32" spans="1:8">
      <c r="A32">
        <v>10</v>
      </c>
      <c r="B32" s="5">
        <v>45741</v>
      </c>
      <c r="C32" t="s">
        <v>470</v>
      </c>
      <c r="D32" s="170">
        <v>1</v>
      </c>
      <c r="E32" s="7">
        <v>320</v>
      </c>
      <c r="F32" s="170" t="s">
        <v>501</v>
      </c>
      <c r="G32" s="5">
        <v>45762.125</v>
      </c>
      <c r="H32" t="s">
        <v>391</v>
      </c>
    </row>
    <row r="33" spans="1:8">
      <c r="A33">
        <v>10</v>
      </c>
      <c r="B33" s="5">
        <v>45741</v>
      </c>
      <c r="C33" t="s">
        <v>470</v>
      </c>
      <c r="D33" s="170">
        <v>2</v>
      </c>
      <c r="E33" s="7">
        <v>320</v>
      </c>
      <c r="F33" s="170" t="s">
        <v>325</v>
      </c>
      <c r="G33" s="5">
        <v>45792.125</v>
      </c>
      <c r="H33" t="s">
        <v>391</v>
      </c>
    </row>
    <row r="34" spans="1:8">
      <c r="A34">
        <v>10</v>
      </c>
      <c r="B34" s="5">
        <v>45741</v>
      </c>
      <c r="C34" t="s">
        <v>470</v>
      </c>
      <c r="D34" s="170">
        <v>3</v>
      </c>
      <c r="E34" s="7">
        <v>320</v>
      </c>
      <c r="F34" s="170" t="s">
        <v>502</v>
      </c>
      <c r="G34" s="5">
        <v>45823.125</v>
      </c>
      <c r="H34" t="s">
        <v>391</v>
      </c>
    </row>
    <row r="35" spans="1:8">
      <c r="A35">
        <v>10</v>
      </c>
      <c r="B35" s="5">
        <v>45741</v>
      </c>
      <c r="C35" t="s">
        <v>470</v>
      </c>
      <c r="D35" s="170">
        <v>4</v>
      </c>
      <c r="E35" s="7">
        <v>320</v>
      </c>
      <c r="F35" s="170" t="s">
        <v>503</v>
      </c>
      <c r="G35" s="5">
        <v>45853.125</v>
      </c>
      <c r="H35" t="s">
        <v>391</v>
      </c>
    </row>
    <row r="36" spans="1:8">
      <c r="A36">
        <v>10</v>
      </c>
      <c r="B36" s="5">
        <v>45741</v>
      </c>
      <c r="C36" t="s">
        <v>470</v>
      </c>
      <c r="D36" s="170">
        <v>5</v>
      </c>
      <c r="E36" s="7">
        <v>320</v>
      </c>
      <c r="F36" s="170" t="s">
        <v>319</v>
      </c>
      <c r="G36" s="5">
        <v>45884.125</v>
      </c>
      <c r="H36" t="s">
        <v>391</v>
      </c>
    </row>
    <row r="37" spans="1:8">
      <c r="A37">
        <v>10</v>
      </c>
      <c r="B37" s="5">
        <v>45741</v>
      </c>
      <c r="C37" t="s">
        <v>470</v>
      </c>
      <c r="D37" s="170">
        <v>6</v>
      </c>
      <c r="E37" s="7">
        <v>320</v>
      </c>
      <c r="F37" s="170" t="s">
        <v>320</v>
      </c>
      <c r="G37" s="5">
        <v>45915.125</v>
      </c>
      <c r="H37" t="s">
        <v>391</v>
      </c>
    </row>
    <row r="38" spans="1:8">
      <c r="A38">
        <v>10</v>
      </c>
      <c r="B38" s="5">
        <v>45741</v>
      </c>
      <c r="C38" t="s">
        <v>470</v>
      </c>
      <c r="D38" s="170">
        <v>7</v>
      </c>
      <c r="E38" s="7">
        <v>320</v>
      </c>
      <c r="F38" s="170" t="s">
        <v>321</v>
      </c>
      <c r="G38" s="5">
        <v>45945.125</v>
      </c>
      <c r="H38" t="s">
        <v>391</v>
      </c>
    </row>
    <row r="39" spans="1:8">
      <c r="A39">
        <v>10</v>
      </c>
      <c r="B39" s="5">
        <v>45741</v>
      </c>
      <c r="C39" t="s">
        <v>470</v>
      </c>
      <c r="D39" s="170">
        <v>8</v>
      </c>
      <c r="E39" s="7">
        <v>320</v>
      </c>
      <c r="F39" s="170" t="s">
        <v>335</v>
      </c>
      <c r="G39" s="5">
        <v>45976.125</v>
      </c>
      <c r="H39" t="s">
        <v>391</v>
      </c>
    </row>
    <row r="40" spans="1:8">
      <c r="A40">
        <v>10</v>
      </c>
      <c r="B40" s="5">
        <v>45741</v>
      </c>
      <c r="C40" t="s">
        <v>470</v>
      </c>
      <c r="D40" s="170">
        <v>9</v>
      </c>
      <c r="E40" s="7">
        <v>320</v>
      </c>
      <c r="F40" s="170" t="s">
        <v>322</v>
      </c>
      <c r="G40" s="5">
        <v>46006.125</v>
      </c>
      <c r="H40" t="s">
        <v>391</v>
      </c>
    </row>
    <row r="41" spans="1:8">
      <c r="A41">
        <v>10</v>
      </c>
      <c r="B41" s="5">
        <v>45741</v>
      </c>
      <c r="C41" t="s">
        <v>470</v>
      </c>
      <c r="D41" s="170">
        <v>10</v>
      </c>
      <c r="E41" s="7">
        <v>320</v>
      </c>
      <c r="F41" s="170" t="s">
        <v>336</v>
      </c>
      <c r="G41" s="5">
        <v>46037.125</v>
      </c>
      <c r="H41" t="s">
        <v>391</v>
      </c>
    </row>
    <row r="42" spans="1:8">
      <c r="A42">
        <v>11</v>
      </c>
      <c r="B42" s="5">
        <v>45755</v>
      </c>
      <c r="C42" t="s">
        <v>471</v>
      </c>
      <c r="D42" s="170">
        <v>1</v>
      </c>
      <c r="E42" s="7">
        <v>295</v>
      </c>
      <c r="F42" s="170" t="s">
        <v>501</v>
      </c>
      <c r="G42" s="5">
        <v>45782.125</v>
      </c>
      <c r="H42" t="s">
        <v>390</v>
      </c>
    </row>
    <row r="43" spans="1:8">
      <c r="A43">
        <v>11</v>
      </c>
      <c r="B43" s="5">
        <v>45755</v>
      </c>
      <c r="C43" t="s">
        <v>471</v>
      </c>
      <c r="D43" s="170">
        <v>2</v>
      </c>
      <c r="E43" s="7">
        <v>295</v>
      </c>
      <c r="F43" s="170" t="s">
        <v>325</v>
      </c>
      <c r="G43" s="5">
        <v>45813.125</v>
      </c>
      <c r="H43" t="s">
        <v>390</v>
      </c>
    </row>
    <row r="44" spans="1:8">
      <c r="A44">
        <v>12</v>
      </c>
      <c r="B44" s="5">
        <v>45762</v>
      </c>
      <c r="C44" t="s">
        <v>472</v>
      </c>
      <c r="D44" s="170">
        <v>1</v>
      </c>
      <c r="E44" s="7">
        <v>360</v>
      </c>
      <c r="F44" s="170" t="s">
        <v>325</v>
      </c>
      <c r="G44" s="5">
        <v>45796.125</v>
      </c>
      <c r="H44" t="s">
        <v>392</v>
      </c>
    </row>
    <row r="45" spans="1:8">
      <c r="A45">
        <v>13</v>
      </c>
      <c r="B45" s="5">
        <v>45769</v>
      </c>
      <c r="C45" t="s">
        <v>473</v>
      </c>
      <c r="D45" s="170">
        <v>1</v>
      </c>
      <c r="E45" s="7">
        <v>240</v>
      </c>
      <c r="F45" s="170" t="s">
        <v>325</v>
      </c>
      <c r="G45" s="5">
        <v>45792.125</v>
      </c>
      <c r="H45" t="s">
        <v>391</v>
      </c>
    </row>
    <row r="46" spans="1:8">
      <c r="A46">
        <v>13</v>
      </c>
      <c r="B46" s="5">
        <v>45769</v>
      </c>
      <c r="C46" t="s">
        <v>473</v>
      </c>
      <c r="D46" s="170">
        <v>2</v>
      </c>
      <c r="E46" s="7">
        <v>240</v>
      </c>
      <c r="F46" s="170" t="s">
        <v>502</v>
      </c>
      <c r="G46" s="5">
        <v>45823.125</v>
      </c>
      <c r="H46" t="s">
        <v>391</v>
      </c>
    </row>
    <row r="47" spans="1:8">
      <c r="A47">
        <v>14</v>
      </c>
      <c r="B47" s="5">
        <v>45787</v>
      </c>
      <c r="C47" t="s">
        <v>474</v>
      </c>
      <c r="D47" s="170">
        <v>1</v>
      </c>
      <c r="E47" s="7">
        <v>320</v>
      </c>
      <c r="F47" s="170" t="s">
        <v>325</v>
      </c>
      <c r="G47" s="5">
        <v>45813.125</v>
      </c>
      <c r="H47" t="s">
        <v>390</v>
      </c>
    </row>
    <row r="48" spans="1:8">
      <c r="A48">
        <v>15</v>
      </c>
      <c r="B48" s="5">
        <v>45789</v>
      </c>
      <c r="C48" t="s">
        <v>475</v>
      </c>
      <c r="D48" s="170">
        <v>1</v>
      </c>
      <c r="E48" s="7">
        <v>366.66666666666669</v>
      </c>
      <c r="F48" s="170" t="s">
        <v>502</v>
      </c>
      <c r="G48" s="5">
        <v>45827.125</v>
      </c>
      <c r="H48" t="s">
        <v>392</v>
      </c>
    </row>
    <row r="49" spans="1:8">
      <c r="A49">
        <v>15</v>
      </c>
      <c r="B49" s="5">
        <v>45789</v>
      </c>
      <c r="C49" t="s">
        <v>475</v>
      </c>
      <c r="D49" s="170">
        <v>2</v>
      </c>
      <c r="E49" s="7">
        <v>366.66666666666669</v>
      </c>
      <c r="F49" s="170" t="s">
        <v>503</v>
      </c>
      <c r="G49" s="5">
        <v>45857.125</v>
      </c>
      <c r="H49" t="s">
        <v>392</v>
      </c>
    </row>
    <row r="50" spans="1:8">
      <c r="A50">
        <v>15</v>
      </c>
      <c r="B50" s="5">
        <v>45789</v>
      </c>
      <c r="C50" t="s">
        <v>475</v>
      </c>
      <c r="D50" s="170">
        <v>3</v>
      </c>
      <c r="E50" s="7">
        <v>366.66666666666669</v>
      </c>
      <c r="F50" s="170" t="s">
        <v>319</v>
      </c>
      <c r="G50" s="5">
        <v>45888.125</v>
      </c>
      <c r="H50" t="s">
        <v>392</v>
      </c>
    </row>
    <row r="51" spans="1:8">
      <c r="A51">
        <v>16</v>
      </c>
      <c r="B51" s="5">
        <v>45797</v>
      </c>
      <c r="C51" t="s">
        <v>476</v>
      </c>
      <c r="D51" s="170">
        <v>1</v>
      </c>
      <c r="E51" s="7">
        <v>600</v>
      </c>
      <c r="F51" s="170" t="s">
        <v>502</v>
      </c>
      <c r="G51" s="5">
        <v>45823.125</v>
      </c>
      <c r="H51" t="s">
        <v>391</v>
      </c>
    </row>
    <row r="52" spans="1:8">
      <c r="A52">
        <v>16</v>
      </c>
      <c r="B52" s="5">
        <v>45797</v>
      </c>
      <c r="C52" t="s">
        <v>476</v>
      </c>
      <c r="D52" s="170">
        <v>2</v>
      </c>
      <c r="E52" s="7">
        <v>600</v>
      </c>
      <c r="F52" s="170" t="s">
        <v>503</v>
      </c>
      <c r="G52" s="5">
        <v>45853.125</v>
      </c>
      <c r="H52" t="s">
        <v>391</v>
      </c>
    </row>
    <row r="53" spans="1:8">
      <c r="A53">
        <v>16</v>
      </c>
      <c r="B53" s="5">
        <v>45797</v>
      </c>
      <c r="C53" t="s">
        <v>476</v>
      </c>
      <c r="D53" s="170">
        <v>3</v>
      </c>
      <c r="E53" s="7">
        <v>600</v>
      </c>
      <c r="F53" s="170" t="s">
        <v>319</v>
      </c>
      <c r="G53" s="5">
        <v>45884.125</v>
      </c>
      <c r="H53" t="s">
        <v>391</v>
      </c>
    </row>
    <row r="54" spans="1:8">
      <c r="A54">
        <v>16</v>
      </c>
      <c r="B54" s="5">
        <v>45797</v>
      </c>
      <c r="C54" t="s">
        <v>476</v>
      </c>
      <c r="D54" s="170">
        <v>4</v>
      </c>
      <c r="E54" s="7">
        <v>600</v>
      </c>
      <c r="F54" s="170" t="s">
        <v>320</v>
      </c>
      <c r="G54" s="5">
        <v>45915.125</v>
      </c>
      <c r="H54" t="s">
        <v>391</v>
      </c>
    </row>
    <row r="55" spans="1:8">
      <c r="A55">
        <v>17</v>
      </c>
      <c r="B55" s="5">
        <v>45813</v>
      </c>
      <c r="C55" t="s">
        <v>477</v>
      </c>
      <c r="D55" s="170">
        <v>1</v>
      </c>
      <c r="E55" s="7">
        <v>280</v>
      </c>
      <c r="F55" s="170" t="s">
        <v>502</v>
      </c>
      <c r="G55" s="5">
        <v>45843.125</v>
      </c>
      <c r="H55" t="s">
        <v>390</v>
      </c>
    </row>
    <row r="56" spans="1:8">
      <c r="A56">
        <v>18</v>
      </c>
      <c r="B56" s="5">
        <v>45823</v>
      </c>
      <c r="C56" t="s">
        <v>478</v>
      </c>
      <c r="D56" s="170">
        <v>1</v>
      </c>
      <c r="E56" s="7">
        <v>350</v>
      </c>
      <c r="F56" s="170" t="s">
        <v>503</v>
      </c>
      <c r="G56" s="5">
        <v>45857.125</v>
      </c>
      <c r="H56" t="s">
        <v>392</v>
      </c>
    </row>
    <row r="57" spans="1:8">
      <c r="A57">
        <v>19</v>
      </c>
      <c r="B57" s="5">
        <v>45833</v>
      </c>
      <c r="C57" t="s">
        <v>479</v>
      </c>
      <c r="D57" s="170">
        <v>1</v>
      </c>
      <c r="E57" s="7">
        <v>225</v>
      </c>
      <c r="F57" s="170" t="s">
        <v>503</v>
      </c>
      <c r="G57" s="5">
        <v>45853.125</v>
      </c>
      <c r="H57" t="s">
        <v>391</v>
      </c>
    </row>
    <row r="58" spans="1:8">
      <c r="A58">
        <v>19</v>
      </c>
      <c r="B58" s="5">
        <v>45833</v>
      </c>
      <c r="C58" t="s">
        <v>479</v>
      </c>
      <c r="D58" s="170">
        <v>2</v>
      </c>
      <c r="E58" s="7">
        <v>225</v>
      </c>
      <c r="F58" s="170" t="s">
        <v>319</v>
      </c>
      <c r="G58" s="5">
        <v>45884.125</v>
      </c>
      <c r="H58" t="s">
        <v>391</v>
      </c>
    </row>
    <row r="59" spans="1:8">
      <c r="A59">
        <v>20</v>
      </c>
      <c r="B59" s="5">
        <v>45841</v>
      </c>
      <c r="C59" t="s">
        <v>480</v>
      </c>
      <c r="D59" s="170">
        <v>1</v>
      </c>
      <c r="E59" s="7">
        <v>280</v>
      </c>
      <c r="F59" s="170" t="s">
        <v>503</v>
      </c>
      <c r="G59" s="5">
        <v>45874.125</v>
      </c>
      <c r="H59" t="s">
        <v>390</v>
      </c>
    </row>
    <row r="60" spans="1:8">
      <c r="A60">
        <v>20</v>
      </c>
      <c r="B60" s="5">
        <v>45841</v>
      </c>
      <c r="C60" t="s">
        <v>480</v>
      </c>
      <c r="D60" s="170">
        <v>2</v>
      </c>
      <c r="E60" s="7">
        <v>280</v>
      </c>
      <c r="F60" s="170" t="s">
        <v>319</v>
      </c>
      <c r="G60" s="5">
        <v>45905.125</v>
      </c>
      <c r="H60" t="s">
        <v>390</v>
      </c>
    </row>
    <row r="61" spans="1:8">
      <c r="A61">
        <v>21</v>
      </c>
      <c r="B61" s="5">
        <v>45848</v>
      </c>
      <c r="C61" t="s">
        <v>481</v>
      </c>
      <c r="D61" s="170">
        <v>1</v>
      </c>
      <c r="E61" s="7">
        <v>390</v>
      </c>
      <c r="F61" s="170" t="s">
        <v>503</v>
      </c>
      <c r="G61" s="5">
        <v>45857.125</v>
      </c>
      <c r="H61" t="s">
        <v>392</v>
      </c>
    </row>
    <row r="62" spans="1:8">
      <c r="A62">
        <v>22</v>
      </c>
      <c r="B62" s="5">
        <v>45856</v>
      </c>
      <c r="C62" t="s">
        <v>482</v>
      </c>
      <c r="D62" s="170">
        <v>1</v>
      </c>
      <c r="E62" s="7">
        <v>240</v>
      </c>
      <c r="F62" s="170" t="s">
        <v>319</v>
      </c>
      <c r="G62" s="5">
        <v>45884.125</v>
      </c>
      <c r="H62" t="s">
        <v>391</v>
      </c>
    </row>
    <row r="63" spans="1:8">
      <c r="A63">
        <v>22</v>
      </c>
      <c r="B63" s="5">
        <v>45856</v>
      </c>
      <c r="C63" t="s">
        <v>482</v>
      </c>
      <c r="D63" s="170">
        <v>2</v>
      </c>
      <c r="E63" s="7">
        <v>240</v>
      </c>
      <c r="F63" s="170" t="s">
        <v>320</v>
      </c>
      <c r="G63" s="5">
        <v>45915.125</v>
      </c>
      <c r="H63" t="s">
        <v>391</v>
      </c>
    </row>
    <row r="64" spans="1:8">
      <c r="A64">
        <v>22</v>
      </c>
      <c r="B64" s="5">
        <v>45856</v>
      </c>
      <c r="C64" t="s">
        <v>482</v>
      </c>
      <c r="D64" s="170">
        <v>3</v>
      </c>
      <c r="E64" s="7">
        <v>240</v>
      </c>
      <c r="F64" s="170" t="s">
        <v>321</v>
      </c>
      <c r="G64" s="5">
        <v>45945.125</v>
      </c>
      <c r="H64" t="s">
        <v>391</v>
      </c>
    </row>
    <row r="65" spans="1:8">
      <c r="A65">
        <v>23</v>
      </c>
      <c r="B65" s="5">
        <v>45874</v>
      </c>
      <c r="C65" t="s">
        <v>483</v>
      </c>
      <c r="D65" s="170">
        <v>1</v>
      </c>
      <c r="E65" s="7">
        <v>380</v>
      </c>
      <c r="F65" s="170" t="s">
        <v>319</v>
      </c>
      <c r="G65" s="5">
        <v>45905.125</v>
      </c>
      <c r="H65" t="s">
        <v>390</v>
      </c>
    </row>
    <row r="66" spans="1:8">
      <c r="A66">
        <v>24</v>
      </c>
      <c r="B66" s="5">
        <v>45881</v>
      </c>
      <c r="C66" t="s">
        <v>484</v>
      </c>
      <c r="D66" s="170">
        <v>1</v>
      </c>
      <c r="E66" s="7">
        <v>445</v>
      </c>
      <c r="F66" s="170" t="s">
        <v>320</v>
      </c>
      <c r="G66" s="5">
        <v>45919.125</v>
      </c>
      <c r="H66" t="s">
        <v>392</v>
      </c>
    </row>
    <row r="67" spans="1:8">
      <c r="A67">
        <v>24</v>
      </c>
      <c r="B67" s="5">
        <v>45881</v>
      </c>
      <c r="C67" t="s">
        <v>484</v>
      </c>
      <c r="D67" s="170">
        <v>2</v>
      </c>
      <c r="E67" s="7">
        <v>445</v>
      </c>
      <c r="F67" s="170" t="s">
        <v>321</v>
      </c>
      <c r="G67" s="5">
        <v>45949.125</v>
      </c>
      <c r="H67" t="s">
        <v>392</v>
      </c>
    </row>
    <row r="68" spans="1:8">
      <c r="A68">
        <v>25</v>
      </c>
      <c r="B68" s="5">
        <v>45889</v>
      </c>
      <c r="C68" t="s">
        <v>485</v>
      </c>
      <c r="D68" s="170">
        <v>1</v>
      </c>
      <c r="E68" s="7">
        <v>325</v>
      </c>
      <c r="F68" s="170" t="s">
        <v>320</v>
      </c>
      <c r="G68" s="5">
        <v>45915.125</v>
      </c>
      <c r="H68" t="s">
        <v>391</v>
      </c>
    </row>
    <row r="69" spans="1:8">
      <c r="A69">
        <v>25</v>
      </c>
      <c r="B69" s="5">
        <v>45889</v>
      </c>
      <c r="C69" t="s">
        <v>485</v>
      </c>
      <c r="D69" s="170">
        <v>2</v>
      </c>
      <c r="E69" s="7">
        <v>325</v>
      </c>
      <c r="F69" s="170" t="s">
        <v>321</v>
      </c>
      <c r="G69" s="5">
        <v>45945.125</v>
      </c>
      <c r="H69" t="s">
        <v>391</v>
      </c>
    </row>
    <row r="70" spans="1:8">
      <c r="A70">
        <v>26</v>
      </c>
      <c r="B70" s="5">
        <v>45907</v>
      </c>
      <c r="C70" t="s">
        <v>486</v>
      </c>
      <c r="D70" s="170">
        <v>1</v>
      </c>
      <c r="E70" s="7">
        <v>220</v>
      </c>
      <c r="F70" s="170" t="s">
        <v>320</v>
      </c>
      <c r="G70" s="5">
        <v>45935.125</v>
      </c>
      <c r="H70" t="s">
        <v>390</v>
      </c>
    </row>
    <row r="71" spans="1:8">
      <c r="A71">
        <v>27</v>
      </c>
      <c r="B71" s="5">
        <v>45915</v>
      </c>
      <c r="C71" t="s">
        <v>487</v>
      </c>
      <c r="D71" s="170">
        <v>1</v>
      </c>
      <c r="E71" s="7">
        <v>400</v>
      </c>
      <c r="F71" s="170" t="s">
        <v>321</v>
      </c>
      <c r="G71" s="5">
        <v>45949.125</v>
      </c>
      <c r="H71" t="s">
        <v>392</v>
      </c>
    </row>
    <row r="72" spans="1:8">
      <c r="A72">
        <v>27</v>
      </c>
      <c r="B72" s="5">
        <v>45915</v>
      </c>
      <c r="C72" t="s">
        <v>487</v>
      </c>
      <c r="D72" s="170">
        <v>2</v>
      </c>
      <c r="E72" s="7">
        <v>400</v>
      </c>
      <c r="F72" s="170" t="s">
        <v>335</v>
      </c>
      <c r="G72" s="5">
        <v>45980.125</v>
      </c>
      <c r="H72" t="s">
        <v>392</v>
      </c>
    </row>
    <row r="73" spans="1:8">
      <c r="A73">
        <v>27</v>
      </c>
      <c r="B73" s="5">
        <v>45915</v>
      </c>
      <c r="C73" t="s">
        <v>487</v>
      </c>
      <c r="D73" s="170">
        <v>3</v>
      </c>
      <c r="E73" s="7">
        <v>400</v>
      </c>
      <c r="F73" s="170" t="s">
        <v>322</v>
      </c>
      <c r="G73" s="5">
        <v>46010.125</v>
      </c>
      <c r="H73" t="s">
        <v>392</v>
      </c>
    </row>
    <row r="74" spans="1:8">
      <c r="A74">
        <v>27</v>
      </c>
      <c r="B74" s="5">
        <v>45915</v>
      </c>
      <c r="C74" t="s">
        <v>487</v>
      </c>
      <c r="D74" s="170">
        <v>4</v>
      </c>
      <c r="E74" s="7">
        <v>400</v>
      </c>
      <c r="F74" s="170" t="s">
        <v>336</v>
      </c>
      <c r="G74" s="5">
        <v>46041.125</v>
      </c>
      <c r="H74" t="s">
        <v>392</v>
      </c>
    </row>
    <row r="75" spans="1:8">
      <c r="A75">
        <v>28</v>
      </c>
      <c r="B75" s="5">
        <v>45922</v>
      </c>
      <c r="C75" t="s">
        <v>488</v>
      </c>
      <c r="D75" s="170">
        <v>1</v>
      </c>
      <c r="E75" s="7">
        <v>450</v>
      </c>
      <c r="F75" s="170" t="s">
        <v>321</v>
      </c>
      <c r="G75" s="5">
        <v>45945.125</v>
      </c>
      <c r="H75" t="s">
        <v>391</v>
      </c>
    </row>
    <row r="76" spans="1:8">
      <c r="A76">
        <v>29</v>
      </c>
      <c r="B76" s="5">
        <v>45935</v>
      </c>
      <c r="C76" t="s">
        <v>489</v>
      </c>
      <c r="D76" s="170">
        <v>1</v>
      </c>
      <c r="E76" s="7">
        <v>240</v>
      </c>
      <c r="F76" s="170" t="s">
        <v>321</v>
      </c>
      <c r="G76" s="5">
        <v>45966.125</v>
      </c>
      <c r="H76" t="s">
        <v>390</v>
      </c>
    </row>
    <row r="77" spans="1:8">
      <c r="A77">
        <v>29</v>
      </c>
      <c r="B77" s="5">
        <v>45935</v>
      </c>
      <c r="C77" t="s">
        <v>489</v>
      </c>
      <c r="D77" s="170">
        <v>2</v>
      </c>
      <c r="E77" s="7">
        <v>240</v>
      </c>
      <c r="F77" s="170" t="s">
        <v>335</v>
      </c>
      <c r="G77" s="5">
        <v>45996.125</v>
      </c>
      <c r="H77" t="s">
        <v>390</v>
      </c>
    </row>
    <row r="78" spans="1:8">
      <c r="A78">
        <v>30</v>
      </c>
      <c r="B78" s="5">
        <v>45942</v>
      </c>
      <c r="C78" t="s">
        <v>490</v>
      </c>
      <c r="D78" s="170">
        <v>1</v>
      </c>
      <c r="E78" s="7">
        <v>350</v>
      </c>
      <c r="F78" s="170" t="s">
        <v>335</v>
      </c>
      <c r="G78" s="5">
        <v>45980.125</v>
      </c>
      <c r="H78" t="s">
        <v>392</v>
      </c>
    </row>
    <row r="79" spans="1:8">
      <c r="A79">
        <v>31</v>
      </c>
      <c r="B79" s="5">
        <v>45955</v>
      </c>
      <c r="C79" t="s">
        <v>491</v>
      </c>
      <c r="D79" s="170">
        <v>1</v>
      </c>
      <c r="E79" s="7">
        <v>296.66666666666669</v>
      </c>
      <c r="F79" s="170" t="s">
        <v>335</v>
      </c>
      <c r="G79" s="5">
        <v>45976.125</v>
      </c>
      <c r="H79" t="s">
        <v>391</v>
      </c>
    </row>
    <row r="80" spans="1:8">
      <c r="A80">
        <v>31</v>
      </c>
      <c r="B80" s="5">
        <v>45955</v>
      </c>
      <c r="C80" t="s">
        <v>491</v>
      </c>
      <c r="D80" s="170">
        <v>2</v>
      </c>
      <c r="E80" s="7">
        <v>296.66666666666669</v>
      </c>
      <c r="F80" s="170" t="s">
        <v>322</v>
      </c>
      <c r="G80" s="5">
        <v>46006.125</v>
      </c>
      <c r="H80" t="s">
        <v>391</v>
      </c>
    </row>
    <row r="81" spans="1:8">
      <c r="A81">
        <v>31</v>
      </c>
      <c r="B81" s="5">
        <v>45955</v>
      </c>
      <c r="C81" t="s">
        <v>491</v>
      </c>
      <c r="D81" s="170">
        <v>3</v>
      </c>
      <c r="E81" s="7">
        <v>296.66666666666669</v>
      </c>
      <c r="F81" s="170" t="s">
        <v>336</v>
      </c>
      <c r="G81" s="5">
        <v>46037.125</v>
      </c>
      <c r="H81" t="s">
        <v>391</v>
      </c>
    </row>
    <row r="82" spans="1:8">
      <c r="A82">
        <v>32</v>
      </c>
      <c r="B82" s="5">
        <v>45969</v>
      </c>
      <c r="C82" t="s">
        <v>492</v>
      </c>
      <c r="D82" s="170">
        <v>1</v>
      </c>
      <c r="E82" s="7">
        <v>600</v>
      </c>
      <c r="F82" s="170" t="s">
        <v>335</v>
      </c>
      <c r="G82" s="5">
        <v>45996.125</v>
      </c>
      <c r="H82" t="s">
        <v>390</v>
      </c>
    </row>
    <row r="83" spans="1:8">
      <c r="A83">
        <v>32</v>
      </c>
      <c r="B83" s="5">
        <v>45969</v>
      </c>
      <c r="C83" t="s">
        <v>492</v>
      </c>
      <c r="D83" s="170">
        <v>2</v>
      </c>
      <c r="E83" s="7">
        <v>600</v>
      </c>
      <c r="F83" s="170" t="s">
        <v>322</v>
      </c>
      <c r="G83" s="5">
        <v>46027.125</v>
      </c>
      <c r="H83" t="s">
        <v>390</v>
      </c>
    </row>
    <row r="84" spans="1:8">
      <c r="A84">
        <v>32</v>
      </c>
      <c r="B84" s="5">
        <v>45969</v>
      </c>
      <c r="C84" t="s">
        <v>492</v>
      </c>
      <c r="D84" s="170">
        <v>3</v>
      </c>
      <c r="E84" s="7">
        <v>600</v>
      </c>
      <c r="F84" s="170" t="s">
        <v>336</v>
      </c>
      <c r="G84" s="5">
        <v>46058.125</v>
      </c>
      <c r="H84" t="s">
        <v>390</v>
      </c>
    </row>
    <row r="85" spans="1:8">
      <c r="A85">
        <v>33</v>
      </c>
      <c r="B85" s="5">
        <v>45976</v>
      </c>
      <c r="C85" t="s">
        <v>493</v>
      </c>
      <c r="D85" s="170">
        <v>1</v>
      </c>
      <c r="E85" s="7">
        <v>320</v>
      </c>
      <c r="F85" s="170" t="s">
        <v>322</v>
      </c>
      <c r="G85" s="5">
        <v>46010.125</v>
      </c>
      <c r="H85" t="s">
        <v>392</v>
      </c>
    </row>
    <row r="86" spans="1:8">
      <c r="A86">
        <v>34</v>
      </c>
      <c r="B86" s="5">
        <v>45986</v>
      </c>
      <c r="C86" t="s">
        <v>494</v>
      </c>
      <c r="D86" s="170">
        <v>1</v>
      </c>
      <c r="E86" s="7">
        <v>300</v>
      </c>
      <c r="F86" s="170" t="s">
        <v>322</v>
      </c>
      <c r="G86" s="5">
        <v>46006.125</v>
      </c>
      <c r="H86" t="s">
        <v>391</v>
      </c>
    </row>
    <row r="87" spans="1:8">
      <c r="A87">
        <v>34</v>
      </c>
      <c r="B87" s="5">
        <v>45986</v>
      </c>
      <c r="C87" t="s">
        <v>494</v>
      </c>
      <c r="D87" s="170">
        <v>2</v>
      </c>
      <c r="E87" s="7">
        <v>300</v>
      </c>
      <c r="F87" s="170" t="s">
        <v>336</v>
      </c>
      <c r="G87" s="5">
        <v>46037.125</v>
      </c>
      <c r="H87" t="s">
        <v>391</v>
      </c>
    </row>
    <row r="88" spans="1:8">
      <c r="A88">
        <v>34</v>
      </c>
      <c r="B88" s="5">
        <v>45986</v>
      </c>
      <c r="C88" t="s">
        <v>494</v>
      </c>
      <c r="D88" s="170">
        <v>3</v>
      </c>
      <c r="E88" s="7">
        <v>300</v>
      </c>
      <c r="F88" s="170" t="s">
        <v>323</v>
      </c>
      <c r="G88" s="5">
        <v>46068.125</v>
      </c>
      <c r="H88" t="s">
        <v>391</v>
      </c>
    </row>
    <row r="89" spans="1:8">
      <c r="A89">
        <v>34</v>
      </c>
      <c r="B89" s="5">
        <v>45986</v>
      </c>
      <c r="C89" t="s">
        <v>494</v>
      </c>
      <c r="D89" s="170">
        <v>4</v>
      </c>
      <c r="E89" s="7">
        <v>300</v>
      </c>
      <c r="F89" s="170" t="s">
        <v>337</v>
      </c>
      <c r="G89" s="5">
        <v>46096.125</v>
      </c>
      <c r="H89" t="s">
        <v>391</v>
      </c>
    </row>
    <row r="90" spans="1:8">
      <c r="A90">
        <v>34</v>
      </c>
      <c r="B90" s="5">
        <v>45986</v>
      </c>
      <c r="C90" t="s">
        <v>494</v>
      </c>
      <c r="D90" s="170">
        <v>5</v>
      </c>
      <c r="E90" s="7">
        <v>300</v>
      </c>
      <c r="F90" s="170" t="s">
        <v>324</v>
      </c>
      <c r="G90" s="5">
        <v>46127.125</v>
      </c>
      <c r="H90" t="s">
        <v>391</v>
      </c>
    </row>
    <row r="91" spans="1:8">
      <c r="A91">
        <v>35</v>
      </c>
      <c r="B91" s="5">
        <v>45996</v>
      </c>
      <c r="C91" t="s">
        <v>495</v>
      </c>
      <c r="D91" s="170">
        <v>1</v>
      </c>
      <c r="E91" s="7">
        <v>400</v>
      </c>
      <c r="F91" s="170" t="s">
        <v>322</v>
      </c>
      <c r="G91" s="5">
        <v>46027.125</v>
      </c>
      <c r="H91" t="s">
        <v>390</v>
      </c>
    </row>
    <row r="92" spans="1:8">
      <c r="A92">
        <v>35</v>
      </c>
      <c r="B92" s="5">
        <v>45996</v>
      </c>
      <c r="C92" t="s">
        <v>495</v>
      </c>
      <c r="D92" s="170">
        <v>2</v>
      </c>
      <c r="E92" s="7">
        <v>400</v>
      </c>
      <c r="F92" s="170" t="s">
        <v>336</v>
      </c>
      <c r="G92" s="5">
        <v>46058.125</v>
      </c>
      <c r="H92" t="s">
        <v>390</v>
      </c>
    </row>
    <row r="93" spans="1:8">
      <c r="A93">
        <v>35</v>
      </c>
      <c r="B93" s="5">
        <v>45996</v>
      </c>
      <c r="C93" t="s">
        <v>495</v>
      </c>
      <c r="D93" s="170">
        <v>3</v>
      </c>
      <c r="E93" s="7">
        <v>400</v>
      </c>
      <c r="F93" s="170" t="s">
        <v>323</v>
      </c>
      <c r="G93" s="5">
        <v>46086.125</v>
      </c>
      <c r="H93" t="s">
        <v>390</v>
      </c>
    </row>
    <row r="94" spans="1:8">
      <c r="A94">
        <v>36</v>
      </c>
      <c r="B94" s="5">
        <v>46001</v>
      </c>
      <c r="C94" t="s">
        <v>496</v>
      </c>
      <c r="D94" s="170">
        <v>1</v>
      </c>
      <c r="E94" s="7">
        <v>580</v>
      </c>
      <c r="F94" s="170" t="s">
        <v>322</v>
      </c>
      <c r="G94" s="5">
        <v>46010.125</v>
      </c>
      <c r="H94" t="s">
        <v>392</v>
      </c>
    </row>
    <row r="95" spans="1:8">
      <c r="A95">
        <v>37</v>
      </c>
      <c r="B95" s="5">
        <v>46011</v>
      </c>
      <c r="C95" t="s">
        <v>497</v>
      </c>
      <c r="D95" s="170">
        <v>1</v>
      </c>
      <c r="E95" s="7">
        <v>225</v>
      </c>
      <c r="F95" s="170" t="s">
        <v>336</v>
      </c>
      <c r="G95" s="5">
        <v>46037.125</v>
      </c>
      <c r="H95" t="s">
        <v>391</v>
      </c>
    </row>
    <row r="96" spans="1:8">
      <c r="A96">
        <v>37</v>
      </c>
      <c r="B96" s="5">
        <v>46011</v>
      </c>
      <c r="C96" t="s">
        <v>497</v>
      </c>
      <c r="D96" s="170">
        <v>2</v>
      </c>
      <c r="E96" s="7">
        <v>225</v>
      </c>
      <c r="F96" s="170" t="s">
        <v>323</v>
      </c>
      <c r="G96" s="5">
        <v>46068.125</v>
      </c>
      <c r="H96" t="s">
        <v>391</v>
      </c>
    </row>
    <row r="97" spans="1:7">
      <c r="A97"/>
      <c r="D97" s="170"/>
      <c r="F97" s="170"/>
      <c r="G97" s="5"/>
    </row>
    <row r="98" spans="1:7">
      <c r="A98"/>
      <c r="D98" s="170"/>
      <c r="F98" s="170"/>
      <c r="G98" s="5"/>
    </row>
    <row r="99" spans="1:7">
      <c r="A99"/>
      <c r="D99" s="170"/>
      <c r="F99" s="170"/>
      <c r="G99" s="5"/>
    </row>
    <row r="100" spans="1:7">
      <c r="A100"/>
      <c r="D100" s="170"/>
      <c r="F100" s="170"/>
      <c r="G100" s="5"/>
    </row>
    <row r="101" spans="1:7">
      <c r="A101"/>
      <c r="D101" s="170"/>
      <c r="F101" s="170"/>
      <c r="G101" s="5"/>
    </row>
    <row r="102" spans="1:7">
      <c r="A102"/>
      <c r="D102" s="170"/>
      <c r="F102" s="170"/>
      <c r="G102" s="5"/>
    </row>
    <row r="103" spans="1:7">
      <c r="A103"/>
      <c r="D103" s="170"/>
      <c r="F103" s="170"/>
      <c r="G103" s="5"/>
    </row>
    <row r="104" spans="1:7">
      <c r="A104"/>
      <c r="D104" s="170"/>
      <c r="F104" s="170"/>
      <c r="G104" s="5"/>
    </row>
    <row r="105" spans="1:7">
      <c r="A105"/>
      <c r="D105" s="170"/>
      <c r="F105" s="170"/>
      <c r="G105" s="5"/>
    </row>
    <row r="106" spans="1:7">
      <c r="A106"/>
      <c r="D106" s="170"/>
      <c r="F106" s="170"/>
      <c r="G106" s="5"/>
    </row>
    <row r="107" spans="1:7">
      <c r="A107"/>
      <c r="D107" s="170"/>
      <c r="F107" s="170"/>
      <c r="G107" s="5"/>
    </row>
    <row r="108" spans="1:7">
      <c r="A108"/>
      <c r="D108" s="170"/>
      <c r="F108" s="170"/>
      <c r="G108" s="5"/>
    </row>
    <row r="109" spans="1:7">
      <c r="A109"/>
      <c r="D109" s="170"/>
      <c r="F109" s="170"/>
      <c r="G109" s="5"/>
    </row>
    <row r="110" spans="1:7">
      <c r="A110"/>
      <c r="D110" s="170"/>
      <c r="F110" s="170"/>
      <c r="G110" s="5"/>
    </row>
    <row r="111" spans="1:7">
      <c r="A111"/>
      <c r="D111" s="170"/>
      <c r="F111" s="170"/>
      <c r="G111" s="5"/>
    </row>
    <row r="112" spans="1:7">
      <c r="A112"/>
      <c r="D112" s="170"/>
      <c r="F112" s="170"/>
      <c r="G112" s="5"/>
    </row>
    <row r="113" spans="1:7">
      <c r="A113"/>
      <c r="D113" s="170"/>
      <c r="F113" s="170"/>
      <c r="G113" s="5"/>
    </row>
    <row r="114" spans="1:7">
      <c r="A114"/>
      <c r="D114" s="170"/>
      <c r="F114" s="170"/>
      <c r="G114" s="5"/>
    </row>
    <row r="115" spans="1:7">
      <c r="A115"/>
      <c r="D115" s="170"/>
      <c r="F115" s="170"/>
      <c r="G115" s="5"/>
    </row>
    <row r="116" spans="1:7">
      <c r="A116"/>
      <c r="D116" s="170"/>
      <c r="F116" s="170"/>
      <c r="G116" s="5"/>
    </row>
    <row r="117" spans="1:7">
      <c r="A117"/>
      <c r="D117" s="170"/>
      <c r="F117" s="170"/>
      <c r="G117" s="5"/>
    </row>
    <row r="118" spans="1:7">
      <c r="A118"/>
      <c r="D118" s="170"/>
      <c r="F118" s="170"/>
      <c r="G118" s="5"/>
    </row>
    <row r="119" spans="1:7">
      <c r="A119"/>
      <c r="D119" s="170"/>
      <c r="F119" s="170"/>
      <c r="G119" s="5"/>
    </row>
    <row r="120" spans="1:7">
      <c r="A120"/>
      <c r="D120" s="170"/>
      <c r="F120" s="170"/>
      <c r="G120" s="5"/>
    </row>
    <row r="121" spans="1:7">
      <c r="A121"/>
      <c r="D121" s="170"/>
      <c r="F121" s="170"/>
      <c r="G121" s="5"/>
    </row>
    <row r="122" spans="1:7">
      <c r="A122"/>
      <c r="D122" s="170"/>
      <c r="F122" s="170"/>
      <c r="G122" s="5"/>
    </row>
    <row r="123" spans="1:7">
      <c r="A123"/>
      <c r="D123" s="170"/>
      <c r="F123" s="170"/>
      <c r="G123" s="5"/>
    </row>
    <row r="124" spans="1:7">
      <c r="A124"/>
      <c r="D124" s="170"/>
      <c r="F124" s="170"/>
      <c r="G124" s="5"/>
    </row>
    <row r="125" spans="1:7">
      <c r="A125"/>
      <c r="D125" s="170"/>
      <c r="F125" s="170"/>
      <c r="G125" s="5"/>
    </row>
    <row r="126" spans="1:7">
      <c r="A126"/>
      <c r="D126" s="170"/>
      <c r="F126" s="170"/>
      <c r="G126" s="5"/>
    </row>
    <row r="127" spans="1:7">
      <c r="A127"/>
      <c r="D127" s="170"/>
      <c r="F127" s="170"/>
      <c r="G127" s="5"/>
    </row>
    <row r="128" spans="1:7">
      <c r="A128"/>
      <c r="D128" s="170"/>
      <c r="F128" s="170"/>
      <c r="G128" s="5"/>
    </row>
    <row r="129" spans="1:7">
      <c r="A129"/>
      <c r="D129" s="170"/>
      <c r="F129" s="170"/>
      <c r="G129" s="5"/>
    </row>
    <row r="130" spans="1:7">
      <c r="A130"/>
      <c r="D130" s="170"/>
      <c r="F130" s="170"/>
      <c r="G130" s="5"/>
    </row>
    <row r="131" spans="1:7">
      <c r="A131"/>
      <c r="D131" s="170"/>
      <c r="F131" s="170"/>
      <c r="G131" s="5"/>
    </row>
    <row r="132" spans="1:7">
      <c r="A132"/>
      <c r="D132" s="170"/>
      <c r="F132" s="170"/>
      <c r="G132" s="5"/>
    </row>
    <row r="133" spans="1:7">
      <c r="A133"/>
      <c r="D133" s="170"/>
      <c r="F133" s="170"/>
      <c r="G133" s="5"/>
    </row>
    <row r="134" spans="1:7">
      <c r="A134"/>
      <c r="D134" s="170"/>
      <c r="F134" s="170"/>
      <c r="G134" s="5"/>
    </row>
    <row r="135" spans="1:7">
      <c r="A135"/>
      <c r="D135" s="170"/>
      <c r="F135" s="170"/>
      <c r="G135" s="5"/>
    </row>
    <row r="136" spans="1:7">
      <c r="A136"/>
      <c r="D136" s="170"/>
      <c r="F136" s="170"/>
      <c r="G136" s="5"/>
    </row>
    <row r="137" spans="1:7">
      <c r="A137"/>
      <c r="D137" s="170"/>
      <c r="F137" s="170"/>
      <c r="G137" s="5"/>
    </row>
    <row r="138" spans="1:7">
      <c r="A138"/>
      <c r="D138" s="170"/>
      <c r="F138" s="170"/>
      <c r="G138" s="5"/>
    </row>
    <row r="139" spans="1:7">
      <c r="A139"/>
      <c r="D139" s="170"/>
      <c r="F139" s="170"/>
      <c r="G139" s="5"/>
    </row>
    <row r="140" spans="1:7">
      <c r="A140"/>
      <c r="D140" s="170"/>
      <c r="F140" s="170"/>
      <c r="G140" s="5"/>
    </row>
    <row r="141" spans="1:7">
      <c r="A141"/>
      <c r="D141" s="170"/>
      <c r="F141" s="170"/>
      <c r="G141" s="5"/>
    </row>
    <row r="142" spans="1:7">
      <c r="A142"/>
      <c r="D142" s="170"/>
      <c r="F142" s="170"/>
      <c r="G142" s="5"/>
    </row>
    <row r="143" spans="1:7">
      <c r="A143"/>
      <c r="D143" s="170"/>
      <c r="F143" s="170"/>
      <c r="G143" s="5"/>
    </row>
    <row r="144" spans="1:7">
      <c r="A144"/>
      <c r="D144" s="170"/>
      <c r="F144" s="170"/>
      <c r="G144" s="5"/>
    </row>
    <row r="145" spans="1:7">
      <c r="A145"/>
      <c r="D145" s="170"/>
      <c r="F145" s="170"/>
      <c r="G145" s="5"/>
    </row>
    <row r="146" spans="1:7">
      <c r="A146"/>
      <c r="D146" s="170"/>
      <c r="F146" s="170"/>
      <c r="G146" s="5"/>
    </row>
    <row r="147" spans="1:7">
      <c r="A147"/>
      <c r="D147" s="170"/>
      <c r="F147" s="170"/>
      <c r="G147" s="5"/>
    </row>
    <row r="148" spans="1:7">
      <c r="A148"/>
      <c r="D148" s="170"/>
      <c r="F148" s="170"/>
      <c r="G148" s="5"/>
    </row>
    <row r="149" spans="1:7">
      <c r="A149"/>
      <c r="D149" s="170"/>
      <c r="F149" s="170"/>
      <c r="G149" s="5"/>
    </row>
    <row r="150" spans="1:7">
      <c r="A150"/>
      <c r="D150" s="170"/>
      <c r="F150" s="170"/>
      <c r="G150" s="5"/>
    </row>
    <row r="151" spans="1:7">
      <c r="A151"/>
      <c r="D151" s="170"/>
      <c r="F151" s="170"/>
      <c r="G151" s="5"/>
    </row>
    <row r="152" spans="1:7">
      <c r="A152"/>
      <c r="D152" s="170"/>
      <c r="F152" s="170"/>
      <c r="G152" s="5"/>
    </row>
    <row r="153" spans="1:7">
      <c r="A153"/>
      <c r="D153" s="170"/>
      <c r="F153" s="170"/>
      <c r="G153" s="5"/>
    </row>
    <row r="154" spans="1:7">
      <c r="A154"/>
      <c r="D154" s="170"/>
      <c r="F154" s="170"/>
      <c r="G154" s="5"/>
    </row>
    <row r="155" spans="1:7">
      <c r="A155"/>
      <c r="D155" s="170"/>
      <c r="F155" s="170"/>
      <c r="G155" s="5"/>
    </row>
    <row r="156" spans="1:7">
      <c r="A156"/>
      <c r="D156" s="170"/>
      <c r="F156" s="170"/>
      <c r="G156" s="5"/>
    </row>
    <row r="157" spans="1:7">
      <c r="A157"/>
      <c r="D157" s="170"/>
      <c r="F157" s="170"/>
      <c r="G157" s="5"/>
    </row>
    <row r="158" spans="1:7">
      <c r="A158"/>
      <c r="D158" s="170"/>
      <c r="F158" s="170"/>
      <c r="G158" s="5"/>
    </row>
    <row r="159" spans="1:7">
      <c r="A159"/>
      <c r="D159" s="170"/>
      <c r="F159" s="170"/>
      <c r="G159" s="5"/>
    </row>
    <row r="160" spans="1:7">
      <c r="A160"/>
      <c r="D160" s="170"/>
      <c r="F160" s="170"/>
      <c r="G160" s="5"/>
    </row>
    <row r="161" spans="1:7">
      <c r="A161"/>
      <c r="D161" s="170"/>
      <c r="F161" s="170"/>
      <c r="G161" s="5"/>
    </row>
    <row r="162" spans="1:7">
      <c r="A162"/>
      <c r="D162" s="170"/>
      <c r="F162" s="170"/>
      <c r="G162" s="5"/>
    </row>
    <row r="163" spans="1:7">
      <c r="A163"/>
      <c r="D163" s="170"/>
      <c r="F163" s="170"/>
      <c r="G163" s="5"/>
    </row>
    <row r="164" spans="1:7">
      <c r="A164"/>
      <c r="D164" s="170"/>
      <c r="F164" s="170"/>
      <c r="G164" s="5"/>
    </row>
    <row r="165" spans="1:7">
      <c r="A165"/>
      <c r="D165" s="170"/>
      <c r="F165" s="170"/>
      <c r="G165" s="5"/>
    </row>
    <row r="166" spans="1:7">
      <c r="A166"/>
      <c r="D166" s="170"/>
      <c r="F166" s="170"/>
      <c r="G166" s="5"/>
    </row>
    <row r="167" spans="1:7">
      <c r="A167"/>
      <c r="D167" s="170"/>
      <c r="F167" s="170"/>
      <c r="G167" s="5"/>
    </row>
    <row r="168" spans="1:7">
      <c r="A168"/>
      <c r="D168" s="170"/>
      <c r="F168" s="170"/>
      <c r="G168" s="5"/>
    </row>
    <row r="169" spans="1:7">
      <c r="A169"/>
      <c r="D169" s="170"/>
      <c r="F169" s="170"/>
      <c r="G169" s="5"/>
    </row>
    <row r="170" spans="1:7">
      <c r="A170"/>
      <c r="D170" s="170"/>
      <c r="F170" s="170"/>
      <c r="G170" s="5"/>
    </row>
    <row r="171" spans="1:7">
      <c r="A171"/>
      <c r="D171" s="170"/>
      <c r="F171" s="170"/>
      <c r="G171" s="5"/>
    </row>
    <row r="172" spans="1:7">
      <c r="A172"/>
      <c r="D172" s="170"/>
      <c r="F172" s="170"/>
      <c r="G172" s="5"/>
    </row>
    <row r="173" spans="1:7">
      <c r="A173"/>
      <c r="D173" s="170"/>
      <c r="F173" s="170"/>
      <c r="G173" s="5"/>
    </row>
    <row r="174" spans="1:7">
      <c r="A174"/>
      <c r="D174" s="170"/>
      <c r="F174" s="170"/>
      <c r="G174" s="5"/>
    </row>
    <row r="175" spans="1:7">
      <c r="A175"/>
      <c r="D175" s="170"/>
      <c r="F175" s="170"/>
      <c r="G175" s="5"/>
    </row>
    <row r="176" spans="1:7">
      <c r="A176"/>
      <c r="D176" s="170"/>
      <c r="F176" s="170"/>
      <c r="G176" s="5"/>
    </row>
    <row r="177" spans="1:7">
      <c r="A177"/>
      <c r="D177" s="170"/>
      <c r="F177" s="170"/>
      <c r="G177" s="5"/>
    </row>
    <row r="178" spans="1:7">
      <c r="A178"/>
      <c r="D178" s="170"/>
      <c r="F178" s="170"/>
      <c r="G178" s="5"/>
    </row>
    <row r="179" spans="1:7">
      <c r="A179"/>
      <c r="D179" s="170"/>
      <c r="F179" s="170"/>
      <c r="G179" s="5"/>
    </row>
    <row r="180" spans="1:7">
      <c r="A180"/>
      <c r="D180" s="170"/>
      <c r="F180" s="170"/>
      <c r="G180" s="5"/>
    </row>
    <row r="181" spans="1:7">
      <c r="A181"/>
      <c r="D181" s="170"/>
      <c r="F181" s="170"/>
      <c r="G181" s="5"/>
    </row>
    <row r="182" spans="1:7">
      <c r="A182"/>
      <c r="D182" s="170"/>
      <c r="F182" s="170"/>
      <c r="G182" s="5"/>
    </row>
    <row r="183" spans="1:7">
      <c r="A183"/>
      <c r="D183" s="170"/>
      <c r="F183" s="170"/>
      <c r="G183" s="5"/>
    </row>
    <row r="184" spans="1:7">
      <c r="A184"/>
      <c r="D184" s="170"/>
      <c r="F184" s="170"/>
      <c r="G184" s="5"/>
    </row>
    <row r="185" spans="1:7">
      <c r="A185"/>
      <c r="D185" s="170"/>
      <c r="F185" s="170"/>
      <c r="G185" s="5"/>
    </row>
    <row r="186" spans="1:7">
      <c r="A186"/>
      <c r="D186" s="170"/>
      <c r="F186" s="170"/>
      <c r="G186" s="5"/>
    </row>
    <row r="187" spans="1:7">
      <c r="A187"/>
      <c r="D187" s="170"/>
      <c r="F187" s="170"/>
      <c r="G187" s="5"/>
    </row>
    <row r="188" spans="1:7">
      <c r="A188"/>
      <c r="D188" s="170"/>
      <c r="F188" s="170"/>
      <c r="G188" s="5"/>
    </row>
    <row r="189" spans="1:7">
      <c r="A189"/>
      <c r="D189" s="170"/>
      <c r="F189" s="170"/>
      <c r="G189" s="5"/>
    </row>
    <row r="190" spans="1:7">
      <c r="A190"/>
      <c r="D190" s="170"/>
      <c r="F190" s="170"/>
      <c r="G190" s="5"/>
    </row>
    <row r="191" spans="1:7">
      <c r="A191"/>
      <c r="D191" s="170"/>
      <c r="F191" s="170"/>
      <c r="G191" s="5"/>
    </row>
    <row r="192" spans="1:7">
      <c r="A192"/>
      <c r="D192" s="170"/>
      <c r="F192" s="170"/>
      <c r="G192" s="5"/>
    </row>
    <row r="193" spans="1:7">
      <c r="A193"/>
      <c r="D193" s="170"/>
      <c r="F193" s="170"/>
      <c r="G193" s="5"/>
    </row>
    <row r="194" spans="1:7">
      <c r="A194"/>
      <c r="D194" s="170"/>
      <c r="F194" s="170"/>
      <c r="G194" s="5"/>
    </row>
    <row r="195" spans="1:7">
      <c r="A195"/>
      <c r="D195" s="170"/>
      <c r="F195" s="170"/>
      <c r="G195" s="5"/>
    </row>
    <row r="196" spans="1:7">
      <c r="A196"/>
      <c r="D196" s="170"/>
      <c r="F196" s="170"/>
      <c r="G196" s="5"/>
    </row>
    <row r="197" spans="1:7">
      <c r="A197"/>
      <c r="D197" s="170"/>
      <c r="F197" s="170"/>
      <c r="G197" s="5"/>
    </row>
    <row r="198" spans="1:7">
      <c r="A198"/>
      <c r="D198" s="170"/>
      <c r="F198" s="170"/>
      <c r="G198" s="5"/>
    </row>
    <row r="199" spans="1:7">
      <c r="A199"/>
      <c r="D199" s="170"/>
      <c r="F199" s="170"/>
      <c r="G199" s="5"/>
    </row>
    <row r="200" spans="1:7">
      <c r="A200"/>
      <c r="D200" s="170"/>
      <c r="F200" s="170"/>
      <c r="G200" s="5"/>
    </row>
    <row r="201" spans="1:7">
      <c r="A201"/>
      <c r="D201" s="170"/>
      <c r="F201" s="170"/>
      <c r="G201" s="5"/>
    </row>
    <row r="202" spans="1:7">
      <c r="A202"/>
      <c r="D202" s="170"/>
      <c r="F202" s="170"/>
      <c r="G202" s="5"/>
    </row>
    <row r="203" spans="1:7">
      <c r="A203"/>
      <c r="D203" s="170"/>
      <c r="F203" s="170"/>
      <c r="G203" s="5"/>
    </row>
    <row r="204" spans="1:7">
      <c r="A204"/>
      <c r="D204" s="170"/>
      <c r="F204" s="170"/>
      <c r="G204" s="5"/>
    </row>
    <row r="205" spans="1:7">
      <c r="A205"/>
      <c r="D205" s="170"/>
      <c r="F205" s="170"/>
      <c r="G205" s="5"/>
    </row>
    <row r="206" spans="1:7">
      <c r="A206"/>
      <c r="D206" s="170"/>
      <c r="F206" s="170"/>
      <c r="G206" s="5"/>
    </row>
    <row r="207" spans="1:7">
      <c r="A207"/>
      <c r="D207" s="170"/>
      <c r="F207" s="170"/>
      <c r="G207" s="5"/>
    </row>
    <row r="208" spans="1:7">
      <c r="A208"/>
      <c r="D208" s="170"/>
      <c r="F208" s="170"/>
      <c r="G208" s="5"/>
    </row>
    <row r="209" spans="1:7">
      <c r="A209"/>
      <c r="D209" s="170"/>
      <c r="F209" s="170"/>
      <c r="G209" s="5"/>
    </row>
    <row r="210" spans="1:7">
      <c r="A210"/>
      <c r="D210" s="170"/>
      <c r="F210" s="170"/>
      <c r="G210" s="5"/>
    </row>
    <row r="211" spans="1:7">
      <c r="A211"/>
      <c r="D211" s="170"/>
      <c r="F211" s="170"/>
      <c r="G211" s="5"/>
    </row>
    <row r="212" spans="1:7">
      <c r="A212"/>
      <c r="D212" s="170"/>
      <c r="F212" s="170"/>
      <c r="G212" s="5"/>
    </row>
    <row r="213" spans="1:7">
      <c r="A213"/>
      <c r="D213" s="170"/>
      <c r="F213" s="170"/>
      <c r="G213" s="5"/>
    </row>
    <row r="214" spans="1:7">
      <c r="A214"/>
      <c r="D214" s="170"/>
      <c r="F214" s="170"/>
      <c r="G214" s="5"/>
    </row>
    <row r="215" spans="1:7">
      <c r="A215"/>
      <c r="D215" s="170"/>
      <c r="F215" s="170"/>
      <c r="G215" s="5"/>
    </row>
    <row r="216" spans="1:7">
      <c r="A216"/>
      <c r="D216" s="170"/>
      <c r="F216" s="170"/>
      <c r="G216" s="5"/>
    </row>
    <row r="217" spans="1:7">
      <c r="A217"/>
      <c r="D217" s="170"/>
      <c r="F217" s="170"/>
      <c r="G217" s="5"/>
    </row>
    <row r="218" spans="1:7">
      <c r="A218"/>
      <c r="D218" s="170"/>
      <c r="F218" s="170"/>
      <c r="G218" s="5"/>
    </row>
    <row r="219" spans="1:7">
      <c r="A219"/>
      <c r="D219" s="170"/>
      <c r="F219" s="170"/>
      <c r="G219" s="5"/>
    </row>
    <row r="220" spans="1:7">
      <c r="A220"/>
      <c r="D220" s="170"/>
      <c r="F220" s="170"/>
      <c r="G220" s="5"/>
    </row>
    <row r="221" spans="1:7">
      <c r="A221"/>
      <c r="D221" s="170"/>
      <c r="F221" s="170"/>
      <c r="G221" s="5"/>
    </row>
    <row r="222" spans="1:7">
      <c r="A222"/>
      <c r="D222" s="170"/>
      <c r="F222" s="170"/>
      <c r="G222" s="5"/>
    </row>
    <row r="223" spans="1:7">
      <c r="A223"/>
      <c r="D223" s="170"/>
      <c r="F223" s="170"/>
      <c r="G223" s="5"/>
    </row>
    <row r="224" spans="1:7">
      <c r="A224"/>
      <c r="D224" s="170"/>
      <c r="F224" s="170"/>
      <c r="G224" s="5"/>
    </row>
    <row r="225" spans="1:7">
      <c r="A225"/>
      <c r="D225" s="170"/>
      <c r="F225" s="170"/>
      <c r="G225" s="5"/>
    </row>
    <row r="226" spans="1:7">
      <c r="A226"/>
      <c r="D226" s="170"/>
      <c r="F226" s="170"/>
      <c r="G226" s="5"/>
    </row>
    <row r="227" spans="1:7">
      <c r="A227"/>
      <c r="D227" s="170"/>
      <c r="F227" s="170"/>
      <c r="G227" s="5"/>
    </row>
    <row r="228" spans="1:7">
      <c r="A228"/>
      <c r="D228" s="170"/>
      <c r="F228" s="170"/>
      <c r="G228" s="5"/>
    </row>
    <row r="229" spans="1:7">
      <c r="A229"/>
      <c r="D229" s="170"/>
      <c r="F229" s="170"/>
      <c r="G229" s="5"/>
    </row>
    <row r="230" spans="1:7">
      <c r="A230"/>
      <c r="D230" s="170"/>
      <c r="F230" s="170"/>
      <c r="G230" s="5"/>
    </row>
    <row r="231" spans="1:7">
      <c r="A231"/>
      <c r="D231" s="170"/>
      <c r="F231" s="170"/>
      <c r="G231" s="5"/>
    </row>
    <row r="232" spans="1:7">
      <c r="A232"/>
      <c r="D232" s="170"/>
      <c r="F232" s="170"/>
      <c r="G232" s="5"/>
    </row>
    <row r="233" spans="1:7">
      <c r="A233"/>
      <c r="D233" s="170"/>
      <c r="F233" s="170"/>
      <c r="G233" s="5"/>
    </row>
    <row r="234" spans="1:7">
      <c r="A234"/>
      <c r="D234" s="170"/>
      <c r="F234" s="170"/>
      <c r="G234" s="5"/>
    </row>
    <row r="235" spans="1:7">
      <c r="A235"/>
      <c r="D235" s="170"/>
      <c r="F235" s="170"/>
      <c r="G235" s="5"/>
    </row>
    <row r="236" spans="1:7">
      <c r="A236"/>
      <c r="D236" s="170"/>
      <c r="F236" s="170"/>
      <c r="G236" s="5"/>
    </row>
    <row r="237" spans="1:7">
      <c r="A237"/>
      <c r="D237" s="170"/>
      <c r="F237" s="170"/>
      <c r="G237" s="5"/>
    </row>
    <row r="238" spans="1:7">
      <c r="A238"/>
      <c r="D238" s="170"/>
      <c r="F238" s="170"/>
      <c r="G238" s="5"/>
    </row>
    <row r="239" spans="1:7">
      <c r="A239"/>
      <c r="D239" s="170"/>
      <c r="F239" s="170"/>
      <c r="G239" s="5"/>
    </row>
    <row r="240" spans="1:7">
      <c r="A240"/>
      <c r="D240" s="170"/>
      <c r="F240" s="170"/>
      <c r="G240" s="5"/>
    </row>
    <row r="241" spans="1:7">
      <c r="A241"/>
      <c r="D241" s="170"/>
      <c r="F241" s="170"/>
      <c r="G241" s="5"/>
    </row>
    <row r="242" spans="1:7">
      <c r="A242"/>
      <c r="D242" s="170"/>
      <c r="F242" s="170"/>
      <c r="G242" s="5"/>
    </row>
    <row r="243" spans="1:7">
      <c r="A243"/>
      <c r="D243" s="170"/>
      <c r="F243" s="170"/>
      <c r="G243" s="5"/>
    </row>
    <row r="244" spans="1:7">
      <c r="A244"/>
      <c r="D244" s="170"/>
      <c r="F244" s="170"/>
      <c r="G244" s="5"/>
    </row>
    <row r="245" spans="1:7">
      <c r="A245"/>
      <c r="D245" s="170"/>
      <c r="F245" s="170"/>
      <c r="G245" s="5"/>
    </row>
    <row r="246" spans="1:7">
      <c r="A246"/>
      <c r="D246" s="170"/>
      <c r="F246" s="170"/>
      <c r="G246" s="5"/>
    </row>
    <row r="247" spans="1:7">
      <c r="A247"/>
      <c r="D247" s="170"/>
      <c r="F247" s="170"/>
      <c r="G247" s="5"/>
    </row>
    <row r="248" spans="1:7">
      <c r="A248"/>
      <c r="D248" s="170"/>
      <c r="F248" s="170"/>
      <c r="G248" s="5"/>
    </row>
    <row r="249" spans="1:7">
      <c r="A249"/>
      <c r="D249" s="170"/>
      <c r="F249" s="170"/>
      <c r="G249" s="5"/>
    </row>
    <row r="250" spans="1:7">
      <c r="A250"/>
      <c r="D250" s="170"/>
      <c r="F250" s="170"/>
      <c r="G250" s="5"/>
    </row>
    <row r="251" spans="1:7">
      <c r="A251"/>
      <c r="D251" s="170"/>
      <c r="F251" s="170"/>
      <c r="G251" s="5"/>
    </row>
    <row r="252" spans="1:7">
      <c r="A252"/>
      <c r="D252" s="170"/>
      <c r="F252" s="170"/>
      <c r="G252" s="5"/>
    </row>
    <row r="253" spans="1:7">
      <c r="A253"/>
      <c r="D253" s="170"/>
      <c r="F253" s="170"/>
      <c r="G253" s="5"/>
    </row>
    <row r="254" spans="1:7">
      <c r="A254"/>
      <c r="D254" s="170"/>
      <c r="F254" s="170"/>
      <c r="G254" s="5"/>
    </row>
    <row r="255" spans="1:7">
      <c r="A255"/>
      <c r="D255" s="170"/>
      <c r="F255" s="170"/>
      <c r="G255" s="5"/>
    </row>
    <row r="256" spans="1:7">
      <c r="A256"/>
      <c r="D256" s="170"/>
      <c r="F256" s="170"/>
      <c r="G256" s="5"/>
    </row>
    <row r="257" spans="1:7">
      <c r="A257"/>
      <c r="D257" s="170"/>
      <c r="F257" s="170"/>
      <c r="G257" s="5"/>
    </row>
    <row r="258" spans="1:7">
      <c r="A258"/>
      <c r="D258" s="170"/>
      <c r="F258" s="170"/>
      <c r="G258" s="5"/>
    </row>
    <row r="259" spans="1:7">
      <c r="A259"/>
      <c r="D259" s="170"/>
      <c r="F259" s="170"/>
      <c r="G259" s="5"/>
    </row>
    <row r="260" spans="1:7">
      <c r="A260"/>
      <c r="D260" s="170"/>
      <c r="F260" s="170"/>
      <c r="G260" s="5"/>
    </row>
    <row r="261" spans="1:7">
      <c r="A261"/>
      <c r="D261" s="170"/>
      <c r="F261" s="170"/>
      <c r="G261" s="5"/>
    </row>
    <row r="262" spans="1:7">
      <c r="A262"/>
      <c r="D262" s="170"/>
      <c r="F262" s="170"/>
      <c r="G262" s="5"/>
    </row>
    <row r="263" spans="1:7">
      <c r="A263"/>
      <c r="D263" s="170"/>
      <c r="F263" s="170"/>
      <c r="G263" s="5"/>
    </row>
    <row r="264" spans="1:7">
      <c r="A264"/>
      <c r="D264" s="170"/>
      <c r="F264" s="170"/>
      <c r="G264" s="5"/>
    </row>
    <row r="265" spans="1:7">
      <c r="A265"/>
      <c r="D265" s="170"/>
      <c r="F265" s="170"/>
      <c r="G265" s="5"/>
    </row>
    <row r="266" spans="1:7">
      <c r="A266"/>
      <c r="D266" s="170"/>
      <c r="F266" s="170"/>
      <c r="G266" s="5"/>
    </row>
    <row r="267" spans="1:7">
      <c r="A267"/>
      <c r="D267" s="170"/>
      <c r="F267" s="170"/>
      <c r="G267" s="5"/>
    </row>
    <row r="268" spans="1:7">
      <c r="A268"/>
      <c r="D268" s="170"/>
      <c r="F268" s="170"/>
      <c r="G268" s="5"/>
    </row>
    <row r="269" spans="1:7">
      <c r="A269"/>
      <c r="D269" s="170"/>
      <c r="F269" s="170"/>
      <c r="G269" s="5"/>
    </row>
    <row r="270" spans="1:7">
      <c r="A270"/>
      <c r="D270" s="170"/>
      <c r="F270" s="170"/>
      <c r="G270" s="5"/>
    </row>
    <row r="271" spans="1:7">
      <c r="A271"/>
      <c r="D271" s="170"/>
      <c r="F271" s="170"/>
      <c r="G271" s="5"/>
    </row>
    <row r="272" spans="1:7">
      <c r="A272"/>
      <c r="D272" s="170"/>
      <c r="F272" s="170"/>
      <c r="G272" s="5"/>
    </row>
    <row r="273" spans="1:7">
      <c r="A273"/>
      <c r="D273" s="170"/>
      <c r="F273" s="170"/>
      <c r="G273" s="5"/>
    </row>
    <row r="274" spans="1:7">
      <c r="A274"/>
      <c r="D274" s="170"/>
      <c r="F274" s="170"/>
      <c r="G274" s="5"/>
    </row>
    <row r="275" spans="1:7">
      <c r="A275"/>
      <c r="D275" s="170"/>
      <c r="F275" s="170"/>
      <c r="G275" s="5"/>
    </row>
    <row r="276" spans="1:7">
      <c r="A276"/>
      <c r="D276" s="170"/>
      <c r="F276" s="170"/>
      <c r="G276" s="5"/>
    </row>
    <row r="277" spans="1:7">
      <c r="A277"/>
      <c r="D277" s="170"/>
      <c r="F277" s="170"/>
      <c r="G277" s="5"/>
    </row>
    <row r="278" spans="1:7">
      <c r="A278"/>
      <c r="D278" s="170"/>
      <c r="F278" s="170"/>
      <c r="G278" s="5"/>
    </row>
    <row r="279" spans="1:7">
      <c r="A279"/>
      <c r="D279" s="170"/>
      <c r="F279" s="170"/>
      <c r="G279" s="5"/>
    </row>
    <row r="280" spans="1:7">
      <c r="A280"/>
      <c r="D280" s="170"/>
      <c r="F280" s="170"/>
      <c r="G280" s="5"/>
    </row>
    <row r="281" spans="1:7">
      <c r="A281"/>
      <c r="D281" s="170"/>
      <c r="F281" s="170"/>
      <c r="G281" s="5"/>
    </row>
    <row r="282" spans="1:7">
      <c r="A282"/>
      <c r="D282" s="170"/>
      <c r="F282" s="170"/>
      <c r="G282" s="5"/>
    </row>
    <row r="283" spans="1:7">
      <c r="A283"/>
      <c r="D283" s="170"/>
      <c r="F283" s="170"/>
      <c r="G283" s="5"/>
    </row>
    <row r="284" spans="1:7">
      <c r="A284"/>
      <c r="D284" s="170"/>
      <c r="F284" s="170"/>
      <c r="G284" s="5"/>
    </row>
    <row r="285" spans="1:7">
      <c r="A285"/>
      <c r="D285" s="170"/>
      <c r="F285" s="170"/>
      <c r="G285" s="5"/>
    </row>
    <row r="286" spans="1:7">
      <c r="A286"/>
      <c r="D286" s="170"/>
      <c r="F286" s="170"/>
      <c r="G286" s="5"/>
    </row>
    <row r="287" spans="1:7">
      <c r="A287"/>
      <c r="D287" s="170"/>
      <c r="F287" s="170"/>
      <c r="G287" s="5"/>
    </row>
    <row r="288" spans="1:7">
      <c r="A288"/>
      <c r="D288" s="170"/>
      <c r="F288" s="170"/>
      <c r="G288" s="5"/>
    </row>
    <row r="289" spans="1:7">
      <c r="A289"/>
      <c r="D289" s="170"/>
      <c r="F289" s="170"/>
      <c r="G289" s="5"/>
    </row>
    <row r="290" spans="1:7">
      <c r="A290"/>
      <c r="D290" s="170"/>
      <c r="F290" s="170"/>
      <c r="G290" s="5"/>
    </row>
    <row r="291" spans="1:7">
      <c r="A291"/>
      <c r="D291" s="170"/>
      <c r="F291" s="170"/>
      <c r="G291" s="5"/>
    </row>
    <row r="292" spans="1:7">
      <c r="A292"/>
      <c r="D292" s="170"/>
      <c r="F292" s="170"/>
      <c r="G292" s="5"/>
    </row>
    <row r="293" spans="1:7">
      <c r="A293"/>
      <c r="D293" s="170"/>
      <c r="F293" s="170"/>
      <c r="G293" s="5"/>
    </row>
    <row r="294" spans="1:7">
      <c r="A294"/>
      <c r="D294" s="170"/>
      <c r="F294" s="170"/>
      <c r="G294" s="5"/>
    </row>
    <row r="295" spans="1:7">
      <c r="A295"/>
      <c r="D295" s="170"/>
      <c r="F295" s="170"/>
      <c r="G295" s="5"/>
    </row>
    <row r="296" spans="1:7">
      <c r="A296"/>
      <c r="D296" s="170"/>
      <c r="F296" s="170"/>
      <c r="G296" s="5"/>
    </row>
    <row r="297" spans="1:7">
      <c r="A297"/>
      <c r="D297" s="170"/>
      <c r="F297" s="170"/>
      <c r="G297" s="5"/>
    </row>
    <row r="298" spans="1:7">
      <c r="A298"/>
      <c r="D298" s="170"/>
      <c r="F298" s="170"/>
      <c r="G298" s="5"/>
    </row>
    <row r="299" spans="1:7">
      <c r="A299"/>
      <c r="D299" s="170"/>
      <c r="F299" s="170"/>
      <c r="G299" s="5"/>
    </row>
    <row r="300" spans="1:7">
      <c r="A300"/>
      <c r="D300" s="170"/>
      <c r="F300" s="170"/>
      <c r="G300" s="5"/>
    </row>
    <row r="301" spans="1:7">
      <c r="A301"/>
      <c r="D301" s="170"/>
      <c r="F301" s="170"/>
      <c r="G301" s="5"/>
    </row>
    <row r="302" spans="1:7">
      <c r="A302"/>
      <c r="D302" s="170"/>
      <c r="F302" s="170"/>
      <c r="G302" s="5"/>
    </row>
    <row r="303" spans="1:7">
      <c r="A303"/>
      <c r="D303" s="170"/>
      <c r="F303" s="170"/>
      <c r="G303" s="5"/>
    </row>
    <row r="304" spans="1:7">
      <c r="A304"/>
      <c r="D304" s="170"/>
      <c r="F304" s="170"/>
      <c r="G304" s="5"/>
    </row>
    <row r="305" spans="1:7">
      <c r="A305"/>
      <c r="D305" s="170"/>
      <c r="F305" s="170"/>
      <c r="G305" s="5"/>
    </row>
    <row r="306" spans="1:7">
      <c r="A306"/>
      <c r="D306" s="170"/>
      <c r="F306" s="170"/>
      <c r="G306" s="5"/>
    </row>
    <row r="307" spans="1:7">
      <c r="A307"/>
      <c r="D307" s="170"/>
      <c r="F307" s="170"/>
      <c r="G307" s="5"/>
    </row>
    <row r="308" spans="1:7">
      <c r="A308"/>
      <c r="D308" s="170"/>
      <c r="F308" s="170"/>
      <c r="G308" s="5"/>
    </row>
    <row r="309" spans="1:7">
      <c r="A309"/>
      <c r="D309" s="170"/>
      <c r="F309" s="170"/>
      <c r="G309" s="5"/>
    </row>
    <row r="310" spans="1:7">
      <c r="A310"/>
      <c r="D310" s="170"/>
      <c r="F310" s="170"/>
      <c r="G310" s="5"/>
    </row>
    <row r="311" spans="1:7">
      <c r="A311"/>
      <c r="D311" s="170"/>
      <c r="F311" s="170"/>
      <c r="G311" s="5"/>
    </row>
    <row r="312" spans="1:7">
      <c r="A312"/>
      <c r="D312" s="170"/>
      <c r="F312" s="170"/>
      <c r="G312" s="5"/>
    </row>
    <row r="313" spans="1:7">
      <c r="A313"/>
      <c r="D313" s="170"/>
      <c r="F313" s="170"/>
      <c r="G313" s="5"/>
    </row>
    <row r="314" spans="1:7">
      <c r="A314"/>
      <c r="D314" s="170"/>
      <c r="F314" s="170"/>
      <c r="G314" s="5"/>
    </row>
    <row r="315" spans="1:7">
      <c r="A315"/>
      <c r="D315" s="170"/>
      <c r="F315" s="170"/>
      <c r="G315" s="5"/>
    </row>
    <row r="316" spans="1:7">
      <c r="A316"/>
      <c r="D316" s="170"/>
      <c r="F316" s="170"/>
      <c r="G316" s="5"/>
    </row>
    <row r="317" spans="1:7">
      <c r="A317"/>
      <c r="D317" s="170"/>
      <c r="F317" s="170"/>
      <c r="G317" s="5"/>
    </row>
    <row r="318" spans="1:7">
      <c r="A318"/>
      <c r="D318" s="170"/>
      <c r="F318" s="170"/>
      <c r="G318" s="5"/>
    </row>
    <row r="319" spans="1:7">
      <c r="A319"/>
      <c r="D319" s="170"/>
      <c r="F319" s="170"/>
      <c r="G319" s="5"/>
    </row>
    <row r="320" spans="1:7">
      <c r="A320"/>
      <c r="D320" s="170"/>
      <c r="F320" s="170"/>
      <c r="G320" s="5"/>
    </row>
    <row r="321" spans="1:7">
      <c r="A321"/>
      <c r="D321" s="170"/>
      <c r="F321" s="170"/>
      <c r="G321" s="5"/>
    </row>
    <row r="322" spans="1:7">
      <c r="A322"/>
      <c r="D322" s="170"/>
      <c r="F322" s="170"/>
      <c r="G322" s="5"/>
    </row>
    <row r="323" spans="1:7">
      <c r="A323"/>
      <c r="D323" s="170"/>
      <c r="F323" s="170"/>
      <c r="G323" s="5"/>
    </row>
    <row r="324" spans="1:7">
      <c r="A324"/>
      <c r="D324" s="170"/>
      <c r="F324" s="170"/>
      <c r="G324" s="5"/>
    </row>
    <row r="325" spans="1:7">
      <c r="A325"/>
      <c r="D325" s="170"/>
      <c r="F325" s="170"/>
      <c r="G325" s="5"/>
    </row>
    <row r="326" spans="1:7">
      <c r="A326"/>
      <c r="D326" s="170"/>
      <c r="F326" s="170"/>
      <c r="G326" s="5"/>
    </row>
    <row r="327" spans="1:7">
      <c r="A327"/>
      <c r="D327" s="170"/>
      <c r="F327" s="170"/>
      <c r="G327" s="5"/>
    </row>
    <row r="328" spans="1:7">
      <c r="A328"/>
      <c r="D328" s="170"/>
      <c r="F328" s="170"/>
      <c r="G328" s="5"/>
    </row>
    <row r="329" spans="1:7">
      <c r="A329"/>
      <c r="D329" s="170"/>
      <c r="F329" s="170"/>
      <c r="G329" s="5"/>
    </row>
    <row r="330" spans="1:7">
      <c r="A330"/>
      <c r="D330" s="170"/>
      <c r="F330" s="170"/>
      <c r="G330" s="5"/>
    </row>
    <row r="331" spans="1:7">
      <c r="A331"/>
      <c r="D331" s="170"/>
      <c r="F331" s="170"/>
      <c r="G331" s="5"/>
    </row>
    <row r="332" spans="1:7">
      <c r="A332"/>
      <c r="D332" s="170"/>
      <c r="F332" s="170"/>
      <c r="G332" s="5"/>
    </row>
    <row r="333" spans="1:7">
      <c r="A333"/>
      <c r="D333" s="170"/>
      <c r="F333" s="170"/>
      <c r="G333" s="5"/>
    </row>
    <row r="334" spans="1:7">
      <c r="A334"/>
      <c r="D334" s="170"/>
      <c r="F334" s="170"/>
      <c r="G334" s="5"/>
    </row>
    <row r="335" spans="1:7">
      <c r="A335"/>
      <c r="D335" s="170"/>
      <c r="F335" s="170"/>
      <c r="G335" s="5"/>
    </row>
    <row r="336" spans="1:7">
      <c r="A336"/>
      <c r="D336" s="170"/>
      <c r="F336" s="170"/>
      <c r="G336" s="5"/>
    </row>
    <row r="337" spans="1:7">
      <c r="A337"/>
      <c r="D337" s="170"/>
      <c r="F337" s="170"/>
      <c r="G337" s="5"/>
    </row>
    <row r="338" spans="1:7">
      <c r="A338"/>
      <c r="D338" s="170"/>
      <c r="F338" s="170"/>
      <c r="G338" s="5"/>
    </row>
    <row r="339" spans="1:7">
      <c r="A339"/>
      <c r="D339" s="170"/>
      <c r="F339" s="170"/>
      <c r="G339" s="5"/>
    </row>
    <row r="340" spans="1:7">
      <c r="A340"/>
      <c r="D340" s="170"/>
      <c r="F340" s="170"/>
      <c r="G340" s="5"/>
    </row>
    <row r="341" spans="1:7">
      <c r="A341"/>
      <c r="D341" s="170"/>
      <c r="F341" s="170"/>
      <c r="G341" s="5"/>
    </row>
    <row r="342" spans="1:7">
      <c r="A342"/>
      <c r="D342" s="170"/>
      <c r="F342" s="170"/>
      <c r="G342" s="5"/>
    </row>
    <row r="343" spans="1:7">
      <c r="A343"/>
      <c r="D343" s="170"/>
      <c r="F343" s="170"/>
      <c r="G343" s="5"/>
    </row>
    <row r="344" spans="1:7">
      <c r="A344"/>
      <c r="D344" s="170"/>
      <c r="F344" s="170"/>
      <c r="G344" s="5"/>
    </row>
    <row r="345" spans="1:7">
      <c r="A345"/>
      <c r="D345" s="170"/>
      <c r="F345" s="170"/>
      <c r="G345" s="5"/>
    </row>
    <row r="346" spans="1:7">
      <c r="A346"/>
      <c r="D346" s="170"/>
      <c r="F346" s="170"/>
      <c r="G346" s="5"/>
    </row>
    <row r="347" spans="1:7">
      <c r="A347"/>
      <c r="D347" s="170"/>
      <c r="F347" s="170"/>
      <c r="G347" s="5"/>
    </row>
    <row r="348" spans="1:7">
      <c r="A348"/>
      <c r="D348" s="170"/>
      <c r="F348" s="170"/>
      <c r="G348" s="5"/>
    </row>
    <row r="349" spans="1:7">
      <c r="A349"/>
      <c r="D349" s="170"/>
      <c r="F349" s="170"/>
      <c r="G349" s="5"/>
    </row>
    <row r="350" spans="1:7">
      <c r="A350"/>
      <c r="D350" s="170"/>
      <c r="F350" s="170"/>
      <c r="G350" s="5"/>
    </row>
    <row r="351" spans="1:7">
      <c r="A351"/>
      <c r="D351" s="170"/>
      <c r="F351" s="170"/>
      <c r="G351" s="5"/>
    </row>
    <row r="352" spans="1:7">
      <c r="A352"/>
      <c r="D352" s="170"/>
      <c r="F352" s="170"/>
      <c r="G352" s="5"/>
    </row>
    <row r="353" spans="1:7">
      <c r="A353"/>
      <c r="D353" s="170"/>
      <c r="F353" s="170"/>
      <c r="G353" s="5"/>
    </row>
    <row r="354" spans="1:7">
      <c r="A354"/>
      <c r="D354" s="170"/>
      <c r="F354" s="170"/>
      <c r="G354" s="5"/>
    </row>
    <row r="355" spans="1:7">
      <c r="A355"/>
      <c r="D355" s="170"/>
      <c r="F355" s="170"/>
      <c r="G355" s="5"/>
    </row>
    <row r="356" spans="1:7">
      <c r="A356"/>
      <c r="D356" s="170"/>
      <c r="F356" s="170"/>
      <c r="G356" s="5"/>
    </row>
    <row r="357" spans="1:7">
      <c r="A357"/>
      <c r="D357" s="170"/>
      <c r="F357" s="170"/>
      <c r="G357" s="5"/>
    </row>
    <row r="358" spans="1:7">
      <c r="A358"/>
      <c r="D358" s="170"/>
      <c r="F358" s="170"/>
      <c r="G358" s="5"/>
    </row>
    <row r="359" spans="1:7">
      <c r="A359"/>
      <c r="D359" s="170"/>
      <c r="F359" s="170"/>
      <c r="G359" s="5"/>
    </row>
    <row r="360" spans="1:7">
      <c r="A360"/>
      <c r="D360" s="170"/>
      <c r="F360" s="170"/>
      <c r="G360" s="5"/>
    </row>
    <row r="361" spans="1:7">
      <c r="A361"/>
      <c r="D361" s="170"/>
      <c r="F361" s="170"/>
      <c r="G361" s="5"/>
    </row>
    <row r="362" spans="1:7">
      <c r="A362"/>
      <c r="D362" s="170"/>
      <c r="F362" s="170"/>
      <c r="G362" s="5"/>
    </row>
    <row r="363" spans="1:7">
      <c r="A363"/>
      <c r="D363" s="170"/>
      <c r="F363" s="170"/>
      <c r="G363" s="5"/>
    </row>
    <row r="364" spans="1:7">
      <c r="A364"/>
      <c r="D364" s="170"/>
      <c r="F364" s="170"/>
      <c r="G364" s="5"/>
    </row>
    <row r="365" spans="1:7">
      <c r="A365"/>
      <c r="D365" s="170"/>
      <c r="F365" s="170"/>
      <c r="G365" s="5"/>
    </row>
    <row r="366" spans="1:7">
      <c r="A366"/>
      <c r="D366" s="170"/>
      <c r="F366" s="170"/>
      <c r="G366" s="5"/>
    </row>
    <row r="367" spans="1:7">
      <c r="A367"/>
      <c r="D367" s="170"/>
      <c r="F367" s="170"/>
      <c r="G367" s="5"/>
    </row>
    <row r="368" spans="1:7">
      <c r="A368"/>
      <c r="D368" s="170"/>
      <c r="F368" s="170"/>
      <c r="G368" s="5"/>
    </row>
    <row r="369" spans="1:7">
      <c r="A369"/>
      <c r="D369" s="170"/>
      <c r="F369" s="170"/>
      <c r="G369" s="5"/>
    </row>
    <row r="370" spans="1:7">
      <c r="A370"/>
      <c r="D370" s="170"/>
      <c r="F370" s="170"/>
      <c r="G370" s="5"/>
    </row>
    <row r="371" spans="1:7">
      <c r="A371"/>
      <c r="D371" s="170"/>
      <c r="F371" s="170"/>
      <c r="G371" s="5"/>
    </row>
    <row r="372" spans="1:7">
      <c r="A372"/>
      <c r="D372" s="170"/>
      <c r="F372" s="170"/>
      <c r="G372" s="5"/>
    </row>
    <row r="373" spans="1:7">
      <c r="A373"/>
      <c r="D373" s="170"/>
      <c r="F373" s="170"/>
      <c r="G373" s="5"/>
    </row>
    <row r="374" spans="1:7">
      <c r="A374"/>
      <c r="D374" s="170"/>
      <c r="F374" s="170"/>
      <c r="G374" s="5"/>
    </row>
    <row r="375" spans="1:7">
      <c r="A375"/>
      <c r="D375" s="170"/>
      <c r="F375" s="170"/>
      <c r="G375" s="5"/>
    </row>
    <row r="376" spans="1:7">
      <c r="A376"/>
      <c r="D376" s="170"/>
      <c r="F376" s="170"/>
      <c r="G376" s="5"/>
    </row>
    <row r="377" spans="1:7">
      <c r="A377"/>
      <c r="D377" s="170"/>
      <c r="F377" s="170"/>
      <c r="G377" s="5"/>
    </row>
    <row r="378" spans="1:7">
      <c r="A378"/>
      <c r="D378" s="170"/>
      <c r="F378" s="170"/>
      <c r="G378" s="5"/>
    </row>
    <row r="379" spans="1:7">
      <c r="A379"/>
      <c r="D379" s="170"/>
      <c r="F379" s="170"/>
      <c r="G379" s="5"/>
    </row>
    <row r="380" spans="1:7">
      <c r="A380"/>
      <c r="D380" s="170"/>
      <c r="F380" s="170"/>
      <c r="G380" s="5"/>
    </row>
    <row r="381" spans="1:7">
      <c r="A381"/>
      <c r="D381" s="170"/>
      <c r="F381" s="170"/>
      <c r="G381" s="5"/>
    </row>
    <row r="382" spans="1:7">
      <c r="A382"/>
      <c r="D382" s="170"/>
      <c r="F382" s="170"/>
      <c r="G382" s="5"/>
    </row>
    <row r="383" spans="1:7">
      <c r="A383"/>
      <c r="D383" s="170"/>
      <c r="F383" s="170"/>
      <c r="G383" s="5"/>
    </row>
    <row r="384" spans="1:7">
      <c r="A384"/>
      <c r="D384" s="170"/>
      <c r="F384" s="170"/>
      <c r="G384" s="5"/>
    </row>
    <row r="385" spans="1:7">
      <c r="A385"/>
      <c r="D385" s="170"/>
      <c r="F385" s="170"/>
      <c r="G385" s="5"/>
    </row>
    <row r="386" spans="1:7">
      <c r="A386"/>
      <c r="D386" s="170"/>
      <c r="F386" s="170"/>
      <c r="G386" s="5"/>
    </row>
    <row r="387" spans="1:7">
      <c r="A387"/>
      <c r="D387" s="170"/>
      <c r="F387" s="170"/>
      <c r="G387" s="5"/>
    </row>
    <row r="388" spans="1:7">
      <c r="A388"/>
      <c r="D388" s="170"/>
      <c r="F388" s="170"/>
      <c r="G388" s="5"/>
    </row>
    <row r="389" spans="1:7">
      <c r="A389"/>
      <c r="D389" s="170"/>
      <c r="F389" s="170"/>
      <c r="G389" s="5"/>
    </row>
    <row r="390" spans="1:7">
      <c r="A390"/>
      <c r="D390" s="170"/>
      <c r="F390" s="170"/>
      <c r="G390" s="5"/>
    </row>
    <row r="391" spans="1:7">
      <c r="A391"/>
      <c r="D391" s="170"/>
      <c r="F391" s="170"/>
      <c r="G391" s="5"/>
    </row>
    <row r="392" spans="1:7">
      <c r="A392"/>
      <c r="D392" s="170"/>
      <c r="F392" s="170"/>
      <c r="G392" s="5"/>
    </row>
    <row r="393" spans="1:7">
      <c r="A393"/>
      <c r="D393" s="170"/>
      <c r="F393" s="170"/>
      <c r="G393" s="5"/>
    </row>
    <row r="394" spans="1:7">
      <c r="A394"/>
      <c r="D394" s="170"/>
      <c r="F394" s="170"/>
      <c r="G394" s="5"/>
    </row>
    <row r="395" spans="1:7">
      <c r="A395"/>
      <c r="D395" s="170"/>
      <c r="F395" s="170"/>
      <c r="G395" s="5"/>
    </row>
    <row r="396" spans="1:7">
      <c r="A396"/>
      <c r="D396" s="170"/>
      <c r="F396" s="170"/>
      <c r="G396" s="5"/>
    </row>
    <row r="397" spans="1:7">
      <c r="A397"/>
      <c r="D397" s="170"/>
      <c r="F397" s="170"/>
      <c r="G397" s="5"/>
    </row>
    <row r="398" spans="1:7">
      <c r="A398"/>
      <c r="D398" s="170"/>
      <c r="F398" s="170"/>
      <c r="G398" s="5"/>
    </row>
    <row r="399" spans="1:7">
      <c r="A399"/>
      <c r="D399" s="170"/>
      <c r="F399" s="170"/>
      <c r="G399" s="5"/>
    </row>
    <row r="400" spans="1:7">
      <c r="A400"/>
      <c r="D400" s="170"/>
      <c r="F400" s="170"/>
      <c r="G400" s="5"/>
    </row>
    <row r="401" spans="1:7">
      <c r="A401"/>
      <c r="D401" s="170"/>
      <c r="F401" s="170"/>
      <c r="G401" s="5"/>
    </row>
    <row r="402" spans="1:7">
      <c r="A402"/>
      <c r="D402" s="170"/>
      <c r="F402" s="170"/>
      <c r="G402" s="5"/>
    </row>
    <row r="403" spans="1:7">
      <c r="A403"/>
      <c r="D403" s="170"/>
      <c r="F403" s="170"/>
      <c r="G403" s="5"/>
    </row>
    <row r="404" spans="1:7">
      <c r="A404"/>
      <c r="D404" s="170"/>
      <c r="F404" s="170"/>
      <c r="G404" s="5"/>
    </row>
    <row r="405" spans="1:7">
      <c r="A405"/>
      <c r="D405" s="170"/>
      <c r="F405" s="170"/>
      <c r="G405" s="5"/>
    </row>
    <row r="406" spans="1:7">
      <c r="A406"/>
      <c r="D406" s="170"/>
      <c r="F406" s="170"/>
      <c r="G406" s="5"/>
    </row>
    <row r="407" spans="1:7">
      <c r="A407"/>
      <c r="D407" s="170"/>
      <c r="F407" s="170"/>
      <c r="G407" s="5"/>
    </row>
    <row r="408" spans="1:7">
      <c r="A408"/>
      <c r="D408" s="170"/>
      <c r="F408" s="170"/>
      <c r="G408" s="5"/>
    </row>
    <row r="409" spans="1:7">
      <c r="A409"/>
      <c r="D409" s="170"/>
      <c r="F409" s="170"/>
      <c r="G409" s="5"/>
    </row>
    <row r="410" spans="1:7">
      <c r="A410"/>
      <c r="D410" s="170"/>
      <c r="F410" s="170"/>
      <c r="G410" s="5"/>
    </row>
    <row r="411" spans="1:7">
      <c r="A411"/>
      <c r="D411" s="170"/>
      <c r="F411" s="170"/>
      <c r="G411" s="5"/>
    </row>
    <row r="412" spans="1:7">
      <c r="A412"/>
      <c r="D412" s="170"/>
      <c r="F412" s="170"/>
      <c r="G412" s="5"/>
    </row>
    <row r="413" spans="1:7">
      <c r="A413"/>
      <c r="D413" s="170"/>
      <c r="F413" s="170"/>
      <c r="G413" s="5"/>
    </row>
    <row r="414" spans="1:7">
      <c r="A414"/>
      <c r="D414" s="170"/>
      <c r="F414" s="170"/>
      <c r="G414" s="5"/>
    </row>
    <row r="415" spans="1:7">
      <c r="A415"/>
      <c r="D415" s="170"/>
      <c r="F415" s="170"/>
      <c r="G415" s="5"/>
    </row>
    <row r="416" spans="1:7">
      <c r="A416"/>
      <c r="D416" s="170"/>
      <c r="F416" s="170"/>
      <c r="G416" s="5"/>
    </row>
    <row r="417" spans="1:7">
      <c r="A417"/>
      <c r="D417" s="170"/>
      <c r="F417" s="170"/>
      <c r="G417" s="5"/>
    </row>
    <row r="418" spans="1:7">
      <c r="A418"/>
      <c r="D418" s="170"/>
      <c r="F418" s="170"/>
      <c r="G418" s="5"/>
    </row>
    <row r="419" spans="1:7">
      <c r="A419"/>
      <c r="D419" s="170"/>
      <c r="F419" s="170"/>
      <c r="G419" s="5"/>
    </row>
    <row r="420" spans="1:7">
      <c r="A420"/>
      <c r="D420" s="170"/>
      <c r="F420" s="170"/>
      <c r="G420" s="5"/>
    </row>
    <row r="421" spans="1:7">
      <c r="A421"/>
      <c r="D421" s="170"/>
      <c r="F421" s="170"/>
      <c r="G421" s="5"/>
    </row>
    <row r="422" spans="1:7">
      <c r="A422"/>
      <c r="D422" s="170"/>
      <c r="F422" s="170"/>
      <c r="G422" s="5"/>
    </row>
    <row r="423" spans="1:7">
      <c r="A423"/>
      <c r="D423" s="170"/>
      <c r="F423" s="170"/>
      <c r="G423" s="5"/>
    </row>
    <row r="424" spans="1:7">
      <c r="A424"/>
      <c r="D424" s="170"/>
      <c r="F424" s="170"/>
      <c r="G424" s="5"/>
    </row>
    <row r="425" spans="1:7">
      <c r="A425"/>
      <c r="D425" s="170"/>
      <c r="F425" s="170"/>
      <c r="G425" s="5"/>
    </row>
    <row r="426" spans="1:7">
      <c r="A426"/>
      <c r="D426" s="170"/>
      <c r="F426" s="170"/>
      <c r="G426" s="5"/>
    </row>
    <row r="427" spans="1:7">
      <c r="A427"/>
      <c r="D427" s="170"/>
      <c r="F427" s="170"/>
      <c r="G427" s="5"/>
    </row>
    <row r="428" spans="1:7">
      <c r="A428"/>
      <c r="D428" s="170"/>
      <c r="F428" s="170"/>
      <c r="G428" s="5"/>
    </row>
    <row r="429" spans="1:7">
      <c r="A429"/>
      <c r="D429" s="170"/>
      <c r="F429" s="170"/>
      <c r="G429" s="5"/>
    </row>
    <row r="430" spans="1:7">
      <c r="A430"/>
      <c r="D430" s="170"/>
      <c r="F430" s="170"/>
      <c r="G430" s="5"/>
    </row>
    <row r="431" spans="1:7">
      <c r="A431"/>
      <c r="D431" s="170"/>
      <c r="F431" s="170"/>
      <c r="G431" s="5"/>
    </row>
    <row r="432" spans="1:7">
      <c r="A432"/>
      <c r="D432" s="170"/>
      <c r="F432" s="170"/>
      <c r="G432" s="5"/>
    </row>
    <row r="433" spans="1:7">
      <c r="A433"/>
      <c r="D433" s="170"/>
      <c r="F433" s="170"/>
      <c r="G433" s="5"/>
    </row>
    <row r="434" spans="1:7">
      <c r="A434"/>
      <c r="D434" s="170"/>
      <c r="F434" s="170"/>
      <c r="G434" s="5"/>
    </row>
    <row r="435" spans="1:7">
      <c r="A435"/>
      <c r="D435" s="170"/>
      <c r="F435" s="170"/>
      <c r="G435" s="5"/>
    </row>
    <row r="436" spans="1:7">
      <c r="A436"/>
      <c r="D436" s="170"/>
      <c r="F436" s="170"/>
      <c r="G436" s="5"/>
    </row>
    <row r="437" spans="1:7">
      <c r="A437"/>
      <c r="D437" s="170"/>
      <c r="F437" s="170"/>
      <c r="G437" s="5"/>
    </row>
    <row r="438" spans="1:7">
      <c r="A438"/>
      <c r="D438" s="170"/>
      <c r="F438" s="170"/>
      <c r="G438" s="5"/>
    </row>
    <row r="439" spans="1:7">
      <c r="A439"/>
      <c r="D439" s="170"/>
      <c r="F439" s="170"/>
      <c r="G439" s="5"/>
    </row>
    <row r="440" spans="1:7">
      <c r="A440"/>
      <c r="D440" s="170"/>
      <c r="F440" s="170"/>
      <c r="G440" s="5"/>
    </row>
    <row r="441" spans="1:7">
      <c r="A441"/>
      <c r="D441" s="170"/>
      <c r="F441" s="170"/>
      <c r="G441" s="5"/>
    </row>
    <row r="442" spans="1:7">
      <c r="A442"/>
      <c r="D442" s="170"/>
      <c r="F442" s="170"/>
      <c r="G442" s="5"/>
    </row>
    <row r="443" spans="1:7">
      <c r="A443"/>
      <c r="D443" s="170"/>
      <c r="F443" s="170"/>
      <c r="G443" s="5"/>
    </row>
    <row r="444" spans="1:7">
      <c r="A444"/>
      <c r="D444" s="170"/>
      <c r="F444" s="170"/>
      <c r="G444" s="5"/>
    </row>
    <row r="445" spans="1:7">
      <c r="A445"/>
      <c r="D445" s="170"/>
      <c r="F445" s="170"/>
      <c r="G445" s="5"/>
    </row>
    <row r="446" spans="1:7">
      <c r="A446"/>
      <c r="D446" s="170"/>
      <c r="F446" s="170"/>
      <c r="G446" s="5"/>
    </row>
    <row r="447" spans="1:7">
      <c r="A447"/>
      <c r="D447" s="170"/>
      <c r="F447" s="170"/>
      <c r="G447" s="5"/>
    </row>
    <row r="448" spans="1:7">
      <c r="A448"/>
      <c r="D448" s="170"/>
      <c r="F448" s="170"/>
      <c r="G448" s="5"/>
    </row>
    <row r="449" spans="1:7">
      <c r="A449"/>
      <c r="D449" s="170"/>
      <c r="F449" s="170"/>
      <c r="G449" s="5"/>
    </row>
    <row r="450" spans="1:7">
      <c r="A450"/>
      <c r="D450" s="170"/>
      <c r="F450" s="170"/>
      <c r="G450" s="5"/>
    </row>
    <row r="451" spans="1:7">
      <c r="A451"/>
      <c r="D451" s="170"/>
      <c r="F451" s="170"/>
      <c r="G451" s="5"/>
    </row>
    <row r="452" spans="1:7">
      <c r="A452"/>
      <c r="D452" s="170"/>
      <c r="F452" s="170"/>
      <c r="G452" s="5"/>
    </row>
    <row r="453" spans="1:7">
      <c r="A453"/>
      <c r="D453" s="170"/>
      <c r="F453" s="170"/>
      <c r="G453" s="5"/>
    </row>
    <row r="454" spans="1:7">
      <c r="A454"/>
      <c r="D454" s="170"/>
      <c r="F454" s="170"/>
      <c r="G454" s="5"/>
    </row>
    <row r="455" spans="1:7">
      <c r="A455"/>
      <c r="D455" s="170"/>
      <c r="F455" s="170"/>
      <c r="G455" s="5"/>
    </row>
    <row r="456" spans="1:7">
      <c r="A456"/>
      <c r="D456" s="170"/>
      <c r="F456" s="170"/>
      <c r="G456" s="5"/>
    </row>
    <row r="457" spans="1:7">
      <c r="A457"/>
      <c r="D457" s="170"/>
      <c r="F457" s="170"/>
      <c r="G457" s="5"/>
    </row>
    <row r="458" spans="1:7">
      <c r="A458"/>
      <c r="D458" s="170"/>
      <c r="F458" s="170"/>
      <c r="G458" s="5"/>
    </row>
    <row r="459" spans="1:7">
      <c r="A459"/>
      <c r="D459" s="170"/>
      <c r="F459" s="170"/>
      <c r="G459" s="5"/>
    </row>
    <row r="460" spans="1:7">
      <c r="A460"/>
      <c r="D460" s="170"/>
      <c r="F460" s="170"/>
      <c r="G460" s="5"/>
    </row>
    <row r="461" spans="1:7">
      <c r="A461"/>
      <c r="D461" s="170"/>
      <c r="F461" s="170"/>
      <c r="G461" s="5"/>
    </row>
    <row r="462" spans="1:7">
      <c r="A462"/>
      <c r="D462" s="170"/>
      <c r="F462" s="170"/>
      <c r="G462" s="5"/>
    </row>
    <row r="463" spans="1:7">
      <c r="A463"/>
      <c r="D463" s="170"/>
      <c r="F463" s="170"/>
      <c r="G463" s="5"/>
    </row>
    <row r="464" spans="1:7">
      <c r="A464"/>
      <c r="D464" s="170"/>
      <c r="F464" s="170"/>
      <c r="G464" s="5"/>
    </row>
    <row r="465" spans="1:7">
      <c r="A465"/>
      <c r="D465" s="170"/>
      <c r="F465" s="170"/>
      <c r="G465" s="5"/>
    </row>
    <row r="466" spans="1:7">
      <c r="A466"/>
      <c r="D466" s="170"/>
      <c r="F466" s="170"/>
      <c r="G466" s="5"/>
    </row>
    <row r="467" spans="1:7">
      <c r="A467"/>
      <c r="D467" s="170"/>
      <c r="F467" s="170"/>
      <c r="G467" s="5"/>
    </row>
    <row r="468" spans="1:7">
      <c r="A468"/>
      <c r="D468" s="170"/>
      <c r="F468" s="170"/>
      <c r="G468" s="5"/>
    </row>
    <row r="469" spans="1:7">
      <c r="A469"/>
      <c r="D469" s="170"/>
      <c r="F469" s="170"/>
      <c r="G469" s="5"/>
    </row>
    <row r="470" spans="1:7">
      <c r="A470"/>
      <c r="D470" s="170"/>
      <c r="F470" s="170"/>
      <c r="G470" s="5"/>
    </row>
    <row r="471" spans="1:7">
      <c r="A471"/>
      <c r="D471" s="170"/>
      <c r="F471" s="170"/>
      <c r="G471" s="5"/>
    </row>
    <row r="472" spans="1:7">
      <c r="A472"/>
      <c r="D472" s="170"/>
      <c r="F472" s="170"/>
      <c r="G472" s="5"/>
    </row>
    <row r="473" spans="1:7">
      <c r="A473"/>
      <c r="D473" s="170"/>
      <c r="F473" s="170"/>
      <c r="G473" s="5"/>
    </row>
    <row r="474" spans="1:7">
      <c r="A474"/>
      <c r="D474" s="170"/>
      <c r="F474" s="170"/>
      <c r="G474" s="5"/>
    </row>
    <row r="475" spans="1:7">
      <c r="A475"/>
      <c r="D475" s="170"/>
      <c r="F475" s="170"/>
      <c r="G475" s="5"/>
    </row>
    <row r="476" spans="1:7">
      <c r="A476"/>
      <c r="D476" s="170"/>
      <c r="F476" s="170"/>
      <c r="G476" s="5"/>
    </row>
    <row r="477" spans="1:7">
      <c r="A477"/>
      <c r="D477" s="170"/>
      <c r="F477" s="170"/>
      <c r="G477" s="5"/>
    </row>
    <row r="478" spans="1:7">
      <c r="A478"/>
      <c r="D478" s="170"/>
      <c r="F478" s="170"/>
      <c r="G478" s="5"/>
    </row>
    <row r="479" spans="1:7">
      <c r="A479"/>
      <c r="D479" s="170"/>
      <c r="F479" s="170"/>
      <c r="G479" s="5"/>
    </row>
    <row r="480" spans="1:7">
      <c r="A480"/>
      <c r="D480" s="170"/>
      <c r="F480" s="170"/>
      <c r="G480" s="5"/>
    </row>
    <row r="481" spans="1:7">
      <c r="A481"/>
      <c r="D481" s="170"/>
      <c r="F481" s="170"/>
      <c r="G481" s="5"/>
    </row>
    <row r="482" spans="1:7">
      <c r="A482"/>
      <c r="D482" s="170"/>
      <c r="F482" s="170"/>
      <c r="G482" s="5"/>
    </row>
    <row r="483" spans="1:7">
      <c r="A483"/>
      <c r="D483" s="170"/>
      <c r="F483" s="170"/>
      <c r="G483" s="5"/>
    </row>
    <row r="484" spans="1:7">
      <c r="A484"/>
      <c r="D484" s="170"/>
      <c r="F484" s="170"/>
      <c r="G484" s="5"/>
    </row>
    <row r="485" spans="1:7">
      <c r="A485"/>
      <c r="D485" s="170"/>
      <c r="F485" s="170"/>
      <c r="G485" s="5"/>
    </row>
    <row r="486" spans="1:7">
      <c r="A486"/>
      <c r="D486" s="170"/>
      <c r="F486" s="170"/>
      <c r="G486" s="5"/>
    </row>
    <row r="487" spans="1:7">
      <c r="A487"/>
      <c r="D487" s="170"/>
      <c r="F487" s="170"/>
      <c r="G487" s="5"/>
    </row>
    <row r="488" spans="1:7">
      <c r="A488"/>
      <c r="D488" s="170"/>
      <c r="F488" s="170"/>
      <c r="G488" s="5"/>
    </row>
    <row r="489" spans="1:7">
      <c r="A489"/>
      <c r="D489" s="170"/>
      <c r="F489" s="170"/>
      <c r="G489" s="5"/>
    </row>
    <row r="490" spans="1:7">
      <c r="A490"/>
      <c r="D490" s="170"/>
      <c r="F490" s="170"/>
      <c r="G490" s="5"/>
    </row>
    <row r="491" spans="1:7">
      <c r="A491"/>
      <c r="D491" s="170"/>
      <c r="F491" s="170"/>
      <c r="G491" s="5"/>
    </row>
    <row r="492" spans="1:7">
      <c r="A492"/>
      <c r="D492" s="170"/>
      <c r="F492" s="170"/>
      <c r="G492" s="5"/>
    </row>
    <row r="493" spans="1:7">
      <c r="A493"/>
      <c r="D493" s="170"/>
      <c r="F493" s="170"/>
      <c r="G493" s="5"/>
    </row>
    <row r="494" spans="1:7">
      <c r="A494"/>
      <c r="D494" s="170"/>
      <c r="F494" s="170"/>
      <c r="G494" s="5"/>
    </row>
    <row r="495" spans="1:7">
      <c r="A495"/>
      <c r="D495" s="170"/>
      <c r="F495" s="170"/>
      <c r="G495" s="5"/>
    </row>
    <row r="496" spans="1:7">
      <c r="A496"/>
      <c r="D496" s="170"/>
      <c r="F496" s="170"/>
      <c r="G496" s="5"/>
    </row>
    <row r="497" spans="1:7">
      <c r="A497"/>
      <c r="D497" s="170"/>
      <c r="F497" s="170"/>
      <c r="G497" s="5"/>
    </row>
    <row r="498" spans="1:7">
      <c r="A498"/>
      <c r="D498" s="170"/>
      <c r="F498" s="170"/>
      <c r="G498" s="5"/>
    </row>
    <row r="499" spans="1:7">
      <c r="A499"/>
      <c r="D499" s="170"/>
      <c r="F499" s="170"/>
      <c r="G499" s="5"/>
    </row>
    <row r="500" spans="1:7">
      <c r="A500"/>
      <c r="D500" s="170"/>
      <c r="F500" s="170"/>
      <c r="G500" s="5"/>
    </row>
    <row r="501" spans="1:7">
      <c r="A501"/>
      <c r="D501" s="170"/>
      <c r="F501" s="170"/>
      <c r="G501" s="5"/>
    </row>
    <row r="502" spans="1:7">
      <c r="A502"/>
      <c r="D502" s="170"/>
      <c r="F502" s="170"/>
      <c r="G502" s="5"/>
    </row>
    <row r="503" spans="1:7">
      <c r="A503"/>
      <c r="D503" s="170"/>
      <c r="F503" s="170"/>
      <c r="G503" s="5"/>
    </row>
    <row r="504" spans="1:7">
      <c r="A504"/>
      <c r="D504" s="170"/>
      <c r="F504" s="170"/>
      <c r="G504" s="5"/>
    </row>
    <row r="505" spans="1:7">
      <c r="A505"/>
      <c r="D505" s="170"/>
      <c r="F505" s="170"/>
      <c r="G505" s="5"/>
    </row>
    <row r="506" spans="1:7">
      <c r="A506"/>
      <c r="D506" s="170"/>
      <c r="F506" s="170"/>
      <c r="G506" s="5"/>
    </row>
    <row r="507" spans="1:7">
      <c r="A507"/>
      <c r="D507" s="170"/>
      <c r="F507" s="170"/>
      <c r="G507" s="5"/>
    </row>
    <row r="508" spans="1:7">
      <c r="A508"/>
      <c r="D508" s="170"/>
      <c r="F508" s="170"/>
      <c r="G508" s="5"/>
    </row>
    <row r="509" spans="1:7">
      <c r="A509"/>
      <c r="D509" s="170"/>
      <c r="F509" s="170"/>
      <c r="G509" s="5"/>
    </row>
    <row r="510" spans="1:7">
      <c r="A510"/>
      <c r="D510" s="170"/>
      <c r="F510" s="170"/>
      <c r="G510" s="5"/>
    </row>
    <row r="511" spans="1:7">
      <c r="A511"/>
      <c r="D511" s="170"/>
      <c r="F511" s="170"/>
      <c r="G511" s="5"/>
    </row>
    <row r="512" spans="1:7">
      <c r="A512"/>
      <c r="D512" s="170"/>
      <c r="F512" s="170"/>
      <c r="G512" s="5"/>
    </row>
    <row r="513" spans="1:7">
      <c r="A513"/>
      <c r="D513" s="170"/>
      <c r="F513" s="170"/>
      <c r="G513" s="5"/>
    </row>
    <row r="514" spans="1:7">
      <c r="A514"/>
      <c r="D514" s="170"/>
      <c r="F514" s="170"/>
      <c r="G514" s="5"/>
    </row>
    <row r="515" spans="1:7">
      <c r="A515"/>
      <c r="D515" s="170"/>
      <c r="F515" s="170"/>
      <c r="G515" s="5"/>
    </row>
    <row r="516" spans="1:7">
      <c r="A516"/>
      <c r="D516" s="170"/>
      <c r="F516" s="170"/>
      <c r="G516" s="5"/>
    </row>
    <row r="517" spans="1:7">
      <c r="A517"/>
      <c r="D517" s="170"/>
      <c r="F517" s="170"/>
      <c r="G517" s="5"/>
    </row>
    <row r="518" spans="1:7">
      <c r="A518"/>
      <c r="D518" s="170"/>
      <c r="F518" s="170"/>
      <c r="G518" s="5"/>
    </row>
    <row r="519" spans="1:7">
      <c r="A519"/>
      <c r="D519" s="170"/>
      <c r="F519" s="170"/>
      <c r="G519" s="5"/>
    </row>
    <row r="520" spans="1:7">
      <c r="A520"/>
      <c r="D520" s="170"/>
      <c r="F520" s="170"/>
      <c r="G520" s="5"/>
    </row>
    <row r="521" spans="1:7">
      <c r="A521"/>
      <c r="D521" s="170"/>
      <c r="F521" s="170"/>
      <c r="G521" s="5"/>
    </row>
    <row r="522" spans="1:7">
      <c r="A522"/>
      <c r="D522" s="170"/>
      <c r="F522" s="170"/>
      <c r="G522" s="5"/>
    </row>
    <row r="523" spans="1:7">
      <c r="A523"/>
      <c r="D523" s="170"/>
      <c r="F523" s="170"/>
      <c r="G523" s="5"/>
    </row>
    <row r="524" spans="1:7">
      <c r="A524"/>
      <c r="D524" s="170"/>
      <c r="F524" s="170"/>
      <c r="G524" s="5"/>
    </row>
    <row r="525" spans="1:7">
      <c r="A525"/>
      <c r="D525" s="170"/>
      <c r="F525" s="170"/>
      <c r="G525" s="5"/>
    </row>
    <row r="526" spans="1:7">
      <c r="A526"/>
      <c r="D526" s="170"/>
      <c r="F526" s="170"/>
      <c r="G526" s="5"/>
    </row>
    <row r="527" spans="1:7">
      <c r="A527"/>
      <c r="D527" s="170"/>
      <c r="F527" s="170"/>
      <c r="G527" s="5"/>
    </row>
    <row r="528" spans="1:7">
      <c r="A528"/>
      <c r="D528" s="170"/>
      <c r="F528" s="170"/>
      <c r="G528" s="5"/>
    </row>
    <row r="529" spans="1:7">
      <c r="A529"/>
      <c r="D529" s="170"/>
      <c r="F529" s="170"/>
      <c r="G529" s="5"/>
    </row>
    <row r="530" spans="1:7">
      <c r="A530"/>
      <c r="D530" s="170"/>
      <c r="F530" s="170"/>
      <c r="G530" s="5"/>
    </row>
    <row r="531" spans="1:7">
      <c r="A531"/>
      <c r="D531" s="170"/>
      <c r="F531" s="170"/>
      <c r="G531" s="5"/>
    </row>
    <row r="532" spans="1:7">
      <c r="A532"/>
      <c r="D532" s="170"/>
      <c r="F532" s="170"/>
      <c r="G532" s="5"/>
    </row>
    <row r="533" spans="1:7">
      <c r="A533"/>
      <c r="D533" s="170"/>
      <c r="F533" s="170"/>
      <c r="G533" s="5"/>
    </row>
    <row r="534" spans="1:7">
      <c r="A534"/>
      <c r="D534" s="170"/>
      <c r="F534" s="170"/>
      <c r="G534" s="5"/>
    </row>
    <row r="535" spans="1:7">
      <c r="A535"/>
      <c r="D535" s="170"/>
      <c r="F535" s="170"/>
      <c r="G535" s="5"/>
    </row>
    <row r="536" spans="1:7">
      <c r="A536"/>
      <c r="D536" s="170"/>
      <c r="F536" s="170"/>
      <c r="G536" s="5"/>
    </row>
    <row r="537" spans="1:7">
      <c r="A537"/>
      <c r="D537" s="170"/>
      <c r="F537" s="170"/>
      <c r="G537" s="5"/>
    </row>
    <row r="538" spans="1:7">
      <c r="A538"/>
      <c r="D538" s="170"/>
      <c r="F538" s="170"/>
      <c r="G538" s="5"/>
    </row>
    <row r="539" spans="1:7">
      <c r="A539"/>
      <c r="D539" s="170"/>
      <c r="F539" s="170"/>
      <c r="G539" s="5"/>
    </row>
    <row r="540" spans="1:7">
      <c r="A540"/>
      <c r="D540" s="170"/>
      <c r="F540" s="170"/>
      <c r="G540" s="5"/>
    </row>
    <row r="541" spans="1:7">
      <c r="A541"/>
      <c r="D541" s="170"/>
      <c r="F541" s="170"/>
      <c r="G541" s="5"/>
    </row>
    <row r="542" spans="1:7">
      <c r="A542"/>
      <c r="D542" s="170"/>
      <c r="F542" s="170"/>
      <c r="G542" s="5"/>
    </row>
    <row r="543" spans="1:7">
      <c r="A543"/>
      <c r="D543" s="170"/>
      <c r="F543" s="170"/>
      <c r="G543" s="5"/>
    </row>
    <row r="544" spans="1:7">
      <c r="A544"/>
      <c r="D544" s="170"/>
      <c r="F544" s="170"/>
      <c r="G544" s="5"/>
    </row>
    <row r="545" spans="1:7">
      <c r="A545"/>
      <c r="D545" s="170"/>
      <c r="F545" s="170"/>
      <c r="G545" s="5"/>
    </row>
    <row r="546" spans="1:7">
      <c r="A546"/>
      <c r="D546" s="170"/>
      <c r="F546" s="170"/>
      <c r="G546" s="5"/>
    </row>
    <row r="547" spans="1:7">
      <c r="A547"/>
      <c r="D547" s="170"/>
      <c r="F547" s="170"/>
      <c r="G547" s="5"/>
    </row>
    <row r="548" spans="1:7">
      <c r="A548"/>
      <c r="D548" s="170"/>
      <c r="F548" s="170"/>
      <c r="G548" s="5"/>
    </row>
    <row r="549" spans="1:7">
      <c r="A549"/>
      <c r="D549" s="170"/>
      <c r="F549" s="170"/>
      <c r="G549" s="5"/>
    </row>
    <row r="550" spans="1:7">
      <c r="A550"/>
      <c r="D550" s="170"/>
      <c r="F550" s="170"/>
      <c r="G550" s="5"/>
    </row>
    <row r="551" spans="1:7">
      <c r="A551"/>
      <c r="D551" s="170"/>
      <c r="F551" s="170"/>
      <c r="G551" s="5"/>
    </row>
    <row r="552" spans="1:7">
      <c r="A552"/>
      <c r="D552" s="170"/>
      <c r="F552" s="170"/>
      <c r="G552" s="5"/>
    </row>
    <row r="553" spans="1:7">
      <c r="A553"/>
      <c r="D553" s="170"/>
      <c r="F553" s="170"/>
      <c r="G553" s="5"/>
    </row>
    <row r="554" spans="1:7">
      <c r="A554"/>
      <c r="D554" s="170"/>
      <c r="F554" s="170"/>
      <c r="G554" s="5"/>
    </row>
    <row r="555" spans="1:7">
      <c r="A555"/>
      <c r="D555" s="170"/>
      <c r="F555" s="170"/>
      <c r="G555" s="5"/>
    </row>
    <row r="556" spans="1:7">
      <c r="A556"/>
      <c r="D556" s="170"/>
      <c r="F556" s="170"/>
      <c r="G556" s="5"/>
    </row>
    <row r="557" spans="1:7">
      <c r="A557"/>
      <c r="D557" s="170"/>
      <c r="F557" s="170"/>
      <c r="G557" s="5"/>
    </row>
    <row r="558" spans="1:7">
      <c r="A558"/>
      <c r="D558" s="170"/>
      <c r="F558" s="170"/>
      <c r="G558" s="5"/>
    </row>
    <row r="559" spans="1:7">
      <c r="A559"/>
      <c r="D559" s="170"/>
      <c r="F559" s="170"/>
      <c r="G559" s="5"/>
    </row>
    <row r="560" spans="1:7">
      <c r="A560"/>
      <c r="D560" s="170"/>
      <c r="F560" s="170"/>
      <c r="G560" s="5"/>
    </row>
    <row r="561" spans="1:7">
      <c r="A561"/>
      <c r="D561" s="170"/>
      <c r="F561" s="170"/>
      <c r="G561" s="5"/>
    </row>
    <row r="562" spans="1:7">
      <c r="A562"/>
      <c r="D562" s="170"/>
      <c r="F562" s="170"/>
      <c r="G562" s="5"/>
    </row>
    <row r="563" spans="1:7">
      <c r="A563"/>
      <c r="D563" s="170"/>
      <c r="F563" s="170"/>
      <c r="G563" s="5"/>
    </row>
    <row r="564" spans="1:7">
      <c r="A564"/>
      <c r="D564" s="170"/>
      <c r="F564" s="170"/>
      <c r="G564" s="5"/>
    </row>
    <row r="565" spans="1:7">
      <c r="A565"/>
      <c r="D565" s="170"/>
      <c r="F565" s="170"/>
      <c r="G565" s="5"/>
    </row>
    <row r="566" spans="1:7">
      <c r="A566"/>
      <c r="D566" s="170"/>
      <c r="F566" s="170"/>
      <c r="G566" s="5"/>
    </row>
    <row r="567" spans="1:7">
      <c r="A567"/>
      <c r="D567" s="170"/>
      <c r="F567" s="170"/>
      <c r="G567" s="5"/>
    </row>
    <row r="568" spans="1:7">
      <c r="A568"/>
      <c r="D568" s="170"/>
      <c r="F568" s="170"/>
      <c r="G568" s="5"/>
    </row>
    <row r="569" spans="1:7">
      <c r="A569"/>
      <c r="D569" s="170"/>
      <c r="F569" s="170"/>
      <c r="G569" s="5"/>
    </row>
    <row r="570" spans="1:7">
      <c r="A570"/>
      <c r="D570" s="170"/>
      <c r="F570" s="170"/>
      <c r="G570" s="5"/>
    </row>
    <row r="571" spans="1:7">
      <c r="A571"/>
      <c r="D571" s="170"/>
      <c r="F571" s="170"/>
      <c r="G571" s="5"/>
    </row>
    <row r="572" spans="1:7">
      <c r="A572"/>
      <c r="D572" s="170"/>
      <c r="F572" s="170"/>
      <c r="G572" s="5"/>
    </row>
    <row r="573" spans="1:7">
      <c r="A573"/>
      <c r="D573" s="170"/>
      <c r="F573" s="170"/>
      <c r="G573" s="5"/>
    </row>
    <row r="574" spans="1:7">
      <c r="A574"/>
      <c r="D574" s="170"/>
      <c r="F574" s="170"/>
      <c r="G574" s="5"/>
    </row>
    <row r="575" spans="1:7">
      <c r="A575"/>
      <c r="D575" s="170"/>
      <c r="F575" s="170"/>
      <c r="G575" s="5"/>
    </row>
    <row r="576" spans="1:7">
      <c r="A576"/>
      <c r="D576" s="170"/>
      <c r="F576" s="170"/>
      <c r="G576" s="5"/>
    </row>
    <row r="577" spans="1:7">
      <c r="A577"/>
      <c r="D577" s="170"/>
      <c r="F577" s="170"/>
      <c r="G577" s="5"/>
    </row>
    <row r="578" spans="1:7">
      <c r="A578"/>
      <c r="D578" s="170"/>
      <c r="F578" s="170"/>
      <c r="G578" s="5"/>
    </row>
    <row r="579" spans="1:7">
      <c r="A579"/>
      <c r="D579" s="170"/>
      <c r="F579" s="170"/>
      <c r="G579" s="5"/>
    </row>
    <row r="580" spans="1:7">
      <c r="A580"/>
      <c r="D580" s="170"/>
      <c r="F580" s="170"/>
      <c r="G580" s="5"/>
    </row>
    <row r="581" spans="1:7">
      <c r="A581"/>
      <c r="D581" s="170"/>
      <c r="F581" s="170"/>
      <c r="G581" s="5"/>
    </row>
    <row r="582" spans="1:7">
      <c r="A582"/>
      <c r="D582" s="170"/>
      <c r="F582" s="170"/>
      <c r="G582" s="5"/>
    </row>
    <row r="583" spans="1:7">
      <c r="A583"/>
      <c r="D583" s="170"/>
      <c r="F583" s="170"/>
      <c r="G583" s="5"/>
    </row>
    <row r="584" spans="1:7">
      <c r="A584"/>
      <c r="D584" s="170"/>
      <c r="F584" s="170"/>
      <c r="G584" s="5"/>
    </row>
    <row r="585" spans="1:7">
      <c r="A585"/>
      <c r="D585" s="170"/>
      <c r="F585" s="170"/>
      <c r="G585" s="5"/>
    </row>
    <row r="586" spans="1:7">
      <c r="A586"/>
      <c r="D586" s="170"/>
      <c r="F586" s="170"/>
      <c r="G586" s="5"/>
    </row>
    <row r="587" spans="1:7">
      <c r="A587"/>
      <c r="D587" s="170"/>
      <c r="F587" s="170"/>
      <c r="G587" s="5"/>
    </row>
    <row r="588" spans="1:7">
      <c r="A588"/>
      <c r="D588" s="170"/>
      <c r="F588" s="170"/>
      <c r="G588" s="5"/>
    </row>
    <row r="589" spans="1:7">
      <c r="A589"/>
      <c r="D589" s="170"/>
      <c r="F589" s="170"/>
      <c r="G589" s="5"/>
    </row>
    <row r="590" spans="1:7">
      <c r="A590"/>
      <c r="D590" s="170"/>
      <c r="F590" s="170"/>
      <c r="G590" s="5"/>
    </row>
    <row r="591" spans="1:7">
      <c r="A591"/>
      <c r="D591" s="170"/>
      <c r="F591" s="170"/>
      <c r="G591" s="5"/>
    </row>
    <row r="592" spans="1:7">
      <c r="A592"/>
      <c r="D592" s="170"/>
      <c r="F592" s="170"/>
      <c r="G592" s="5"/>
    </row>
    <row r="593" spans="1:7">
      <c r="A593"/>
      <c r="D593" s="170"/>
      <c r="F593" s="170"/>
      <c r="G593" s="5"/>
    </row>
    <row r="594" spans="1:7">
      <c r="A594"/>
      <c r="D594" s="170"/>
      <c r="F594" s="170"/>
      <c r="G594" s="5"/>
    </row>
    <row r="595" spans="1:7">
      <c r="A595"/>
      <c r="D595" s="170"/>
      <c r="F595" s="170"/>
      <c r="G595" s="5"/>
    </row>
    <row r="596" spans="1:7">
      <c r="A596"/>
      <c r="D596" s="170"/>
      <c r="F596" s="170"/>
      <c r="G596" s="5"/>
    </row>
    <row r="597" spans="1:7">
      <c r="A597"/>
      <c r="D597" s="170"/>
      <c r="F597" s="170"/>
      <c r="G597" s="5"/>
    </row>
    <row r="598" spans="1:7">
      <c r="A598"/>
      <c r="D598" s="170"/>
      <c r="F598" s="170"/>
      <c r="G598" s="5"/>
    </row>
    <row r="599" spans="1:7">
      <c r="A599"/>
      <c r="D599" s="170"/>
      <c r="F599" s="170"/>
      <c r="G599" s="5"/>
    </row>
    <row r="600" spans="1:7">
      <c r="A600"/>
      <c r="D600" s="170"/>
      <c r="F600" s="170"/>
      <c r="G600" s="5"/>
    </row>
    <row r="601" spans="1:7">
      <c r="A601"/>
      <c r="D601" s="170"/>
      <c r="F601" s="170"/>
      <c r="G601" s="5"/>
    </row>
    <row r="602" spans="1:7">
      <c r="A602"/>
      <c r="D602" s="170"/>
      <c r="F602" s="170"/>
      <c r="G602" s="5"/>
    </row>
    <row r="603" spans="1:7">
      <c r="A603"/>
      <c r="D603" s="170"/>
      <c r="F603" s="170"/>
      <c r="G603" s="5"/>
    </row>
    <row r="604" spans="1:7">
      <c r="A604"/>
      <c r="D604" s="170"/>
      <c r="F604" s="170"/>
      <c r="G604" s="5"/>
    </row>
    <row r="605" spans="1:7">
      <c r="A605"/>
      <c r="D605" s="170"/>
      <c r="F605" s="170"/>
      <c r="G605" s="5"/>
    </row>
    <row r="606" spans="1:7">
      <c r="A606"/>
      <c r="D606" s="170"/>
      <c r="F606" s="170"/>
      <c r="G606" s="5"/>
    </row>
    <row r="607" spans="1:7">
      <c r="A607"/>
      <c r="D607" s="170"/>
      <c r="F607" s="170"/>
      <c r="G607" s="5"/>
    </row>
    <row r="608" spans="1:7">
      <c r="A608"/>
      <c r="D608" s="170"/>
      <c r="F608" s="170"/>
      <c r="G608" s="5"/>
    </row>
    <row r="609" spans="1:7">
      <c r="A609"/>
      <c r="D609" s="170"/>
      <c r="F609" s="170"/>
      <c r="G609" s="5"/>
    </row>
    <row r="610" spans="1:7">
      <c r="A610"/>
      <c r="D610" s="170"/>
      <c r="F610" s="170"/>
      <c r="G610" s="5"/>
    </row>
    <row r="611" spans="1:7">
      <c r="A611"/>
      <c r="D611" s="170"/>
      <c r="F611" s="170"/>
      <c r="G611" s="5"/>
    </row>
    <row r="612" spans="1:7">
      <c r="A612"/>
      <c r="D612" s="170"/>
      <c r="F612" s="170"/>
      <c r="G612" s="5"/>
    </row>
    <row r="613" spans="1:7">
      <c r="A613"/>
      <c r="D613" s="170"/>
      <c r="F613" s="170"/>
      <c r="G613" s="5"/>
    </row>
    <row r="614" spans="1:7">
      <c r="A614"/>
      <c r="D614" s="170"/>
      <c r="F614" s="170"/>
      <c r="G614" s="5"/>
    </row>
    <row r="615" spans="1:7">
      <c r="A615"/>
      <c r="D615" s="170"/>
      <c r="F615" s="170"/>
      <c r="G615" s="5"/>
    </row>
    <row r="616" spans="1:7">
      <c r="A616"/>
      <c r="D616" s="170"/>
      <c r="F616" s="170"/>
      <c r="G616" s="5"/>
    </row>
    <row r="617" spans="1:7">
      <c r="A617"/>
      <c r="D617" s="170"/>
      <c r="F617" s="170"/>
      <c r="G617" s="5"/>
    </row>
    <row r="618" spans="1:7">
      <c r="A618"/>
      <c r="D618" s="170"/>
      <c r="F618" s="170"/>
      <c r="G618" s="5"/>
    </row>
    <row r="619" spans="1:7">
      <c r="A619"/>
      <c r="D619" s="170"/>
      <c r="F619" s="170"/>
      <c r="G619" s="5"/>
    </row>
    <row r="620" spans="1:7">
      <c r="A620"/>
      <c r="D620" s="170"/>
      <c r="F620" s="170"/>
      <c r="G620" s="5"/>
    </row>
    <row r="621" spans="1:7">
      <c r="A621"/>
      <c r="D621" s="170"/>
      <c r="F621" s="170"/>
      <c r="G621" s="5"/>
    </row>
    <row r="622" spans="1:7">
      <c r="A622"/>
      <c r="D622" s="170"/>
      <c r="F622" s="170"/>
      <c r="G622" s="5"/>
    </row>
    <row r="623" spans="1:7">
      <c r="A623"/>
      <c r="D623" s="170"/>
      <c r="F623" s="170"/>
      <c r="G623" s="5"/>
    </row>
    <row r="624" spans="1:7">
      <c r="A624"/>
      <c r="D624" s="170"/>
      <c r="F624" s="170"/>
      <c r="G624" s="5"/>
    </row>
    <row r="625" spans="1:7">
      <c r="A625"/>
      <c r="D625" s="170"/>
      <c r="F625" s="170"/>
      <c r="G625" s="5"/>
    </row>
    <row r="626" spans="1:7">
      <c r="A626"/>
      <c r="D626" s="170"/>
      <c r="F626" s="170"/>
      <c r="G626" s="5"/>
    </row>
    <row r="627" spans="1:7">
      <c r="A627"/>
      <c r="D627" s="170"/>
      <c r="F627" s="170"/>
      <c r="G627" s="5"/>
    </row>
    <row r="628" spans="1:7">
      <c r="A628"/>
      <c r="D628" s="170"/>
      <c r="F628" s="170"/>
      <c r="G628" s="5"/>
    </row>
    <row r="629" spans="1:7">
      <c r="A629"/>
      <c r="D629" s="170"/>
      <c r="F629" s="170"/>
      <c r="G629" s="5"/>
    </row>
    <row r="630" spans="1:7">
      <c r="A630"/>
      <c r="D630" s="170"/>
      <c r="F630" s="170"/>
      <c r="G630" s="5"/>
    </row>
    <row r="631" spans="1:7">
      <c r="A631"/>
      <c r="D631" s="170"/>
      <c r="F631" s="170"/>
      <c r="G631" s="5"/>
    </row>
    <row r="632" spans="1:7">
      <c r="A632"/>
      <c r="D632" s="170"/>
      <c r="F632" s="170"/>
      <c r="G632" s="5"/>
    </row>
    <row r="633" spans="1:7">
      <c r="A633"/>
      <c r="D633" s="170"/>
      <c r="F633" s="170"/>
      <c r="G633" s="5"/>
    </row>
    <row r="634" spans="1:7">
      <c r="A634"/>
      <c r="D634" s="170"/>
      <c r="F634" s="170"/>
      <c r="G634" s="5"/>
    </row>
    <row r="635" spans="1:7">
      <c r="A635"/>
      <c r="D635" s="170"/>
      <c r="F635" s="170"/>
      <c r="G635" s="5"/>
    </row>
    <row r="636" spans="1:7">
      <c r="A636"/>
      <c r="D636" s="170"/>
      <c r="F636" s="170"/>
      <c r="G636" s="5"/>
    </row>
    <row r="637" spans="1:7">
      <c r="A637"/>
      <c r="D637" s="170"/>
      <c r="F637" s="170"/>
      <c r="G637" s="5"/>
    </row>
    <row r="638" spans="1:7">
      <c r="A638"/>
      <c r="D638" s="170"/>
      <c r="F638" s="170"/>
      <c r="G638" s="5"/>
    </row>
    <row r="639" spans="1:7">
      <c r="A639"/>
      <c r="D639" s="170"/>
      <c r="F639" s="170"/>
      <c r="G639" s="5"/>
    </row>
    <row r="640" spans="1:7">
      <c r="A640"/>
      <c r="D640" s="170"/>
      <c r="F640" s="170"/>
      <c r="G640" s="5"/>
    </row>
    <row r="641" spans="1:7">
      <c r="A641"/>
      <c r="D641" s="170"/>
      <c r="F641" s="170"/>
      <c r="G641" s="5"/>
    </row>
    <row r="642" spans="1:7">
      <c r="A642"/>
      <c r="D642" s="170"/>
      <c r="F642" s="170"/>
      <c r="G642" s="5"/>
    </row>
    <row r="643" spans="1:7">
      <c r="A643"/>
      <c r="D643" s="170"/>
      <c r="F643" s="170"/>
      <c r="G643" s="5"/>
    </row>
    <row r="644" spans="1:7">
      <c r="A644"/>
      <c r="D644" s="170"/>
      <c r="F644" s="170"/>
      <c r="G644" s="5"/>
    </row>
    <row r="645" spans="1:7">
      <c r="A645"/>
      <c r="D645" s="170"/>
      <c r="F645" s="170"/>
      <c r="G645" s="5"/>
    </row>
    <row r="646" spans="1:7">
      <c r="A646"/>
      <c r="D646" s="170"/>
      <c r="F646" s="170"/>
      <c r="G646" s="5"/>
    </row>
    <row r="647" spans="1:7">
      <c r="A647"/>
      <c r="D647" s="170"/>
      <c r="F647" s="170"/>
      <c r="G647" s="5"/>
    </row>
    <row r="648" spans="1:7">
      <c r="A648"/>
      <c r="D648" s="170"/>
      <c r="F648" s="170"/>
      <c r="G648" s="5"/>
    </row>
    <row r="649" spans="1:7">
      <c r="A649"/>
      <c r="D649" s="170"/>
      <c r="F649" s="170"/>
      <c r="G649" s="5"/>
    </row>
    <row r="650" spans="1:7">
      <c r="A650"/>
      <c r="D650" s="170"/>
      <c r="F650" s="170"/>
      <c r="G650" s="5"/>
    </row>
    <row r="651" spans="1:7">
      <c r="A651"/>
      <c r="D651" s="170"/>
      <c r="F651" s="170"/>
      <c r="G651" s="5"/>
    </row>
    <row r="652" spans="1:7">
      <c r="A652"/>
      <c r="D652" s="170"/>
      <c r="F652" s="170"/>
      <c r="G652" s="5"/>
    </row>
    <row r="653" spans="1:7">
      <c r="A653"/>
      <c r="D653" s="170"/>
      <c r="F653" s="170"/>
      <c r="G653" s="5"/>
    </row>
    <row r="654" spans="1:7">
      <c r="A654"/>
      <c r="D654" s="170"/>
      <c r="F654" s="170"/>
      <c r="G654" s="5"/>
    </row>
    <row r="655" spans="1:7">
      <c r="A655"/>
      <c r="D655" s="170"/>
      <c r="F655" s="170"/>
      <c r="G655" s="5"/>
    </row>
    <row r="656" spans="1:7">
      <c r="A656"/>
      <c r="D656" s="170"/>
      <c r="F656" s="170"/>
      <c r="G656" s="5"/>
    </row>
    <row r="657" spans="1:7">
      <c r="A657"/>
      <c r="D657" s="170"/>
      <c r="F657" s="170"/>
      <c r="G657" s="5"/>
    </row>
    <row r="658" spans="1:7">
      <c r="A658"/>
      <c r="D658" s="170"/>
      <c r="F658" s="170"/>
      <c r="G658" s="5"/>
    </row>
    <row r="659" spans="1:7">
      <c r="A659"/>
      <c r="D659" s="170"/>
      <c r="F659" s="170"/>
      <c r="G659" s="5"/>
    </row>
    <row r="660" spans="1:7">
      <c r="A660"/>
      <c r="D660" s="170"/>
      <c r="F660" s="170"/>
      <c r="G660" s="5"/>
    </row>
    <row r="661" spans="1:7">
      <c r="A661"/>
      <c r="D661" s="170"/>
      <c r="F661" s="170"/>
      <c r="G661" s="5"/>
    </row>
    <row r="662" spans="1:7">
      <c r="A662"/>
      <c r="D662" s="170"/>
      <c r="F662" s="170"/>
      <c r="G662" s="5"/>
    </row>
    <row r="663" spans="1:7">
      <c r="A663"/>
      <c r="D663" s="170"/>
      <c r="F663" s="170"/>
      <c r="G663" s="5"/>
    </row>
    <row r="664" spans="1:7">
      <c r="A664"/>
      <c r="D664" s="170"/>
      <c r="F664" s="170"/>
      <c r="G664" s="5"/>
    </row>
    <row r="665" spans="1:7">
      <c r="A665"/>
      <c r="D665" s="170"/>
      <c r="F665" s="170"/>
      <c r="G665" s="5"/>
    </row>
    <row r="666" spans="1:7">
      <c r="A666"/>
      <c r="D666" s="170"/>
      <c r="F666" s="170"/>
      <c r="G666" s="5"/>
    </row>
    <row r="667" spans="1:7">
      <c r="A667"/>
      <c r="D667" s="170"/>
      <c r="F667" s="170"/>
      <c r="G667" s="5"/>
    </row>
    <row r="668" spans="1:7">
      <c r="A668"/>
      <c r="D668" s="170"/>
      <c r="F668" s="170"/>
      <c r="G668" s="5"/>
    </row>
    <row r="669" spans="1:7">
      <c r="A669"/>
      <c r="D669" s="170"/>
      <c r="F669" s="170"/>
      <c r="G669" s="5"/>
    </row>
    <row r="670" spans="1:7">
      <c r="A670"/>
      <c r="D670" s="170"/>
      <c r="F670" s="170"/>
      <c r="G670" s="5"/>
    </row>
    <row r="671" spans="1:7">
      <c r="A671"/>
      <c r="D671" s="170"/>
      <c r="F671" s="170"/>
      <c r="G671" s="5"/>
    </row>
    <row r="672" spans="1:7">
      <c r="A672"/>
      <c r="D672" s="170"/>
      <c r="F672" s="170"/>
      <c r="G672" s="5"/>
    </row>
    <row r="673" spans="1:7">
      <c r="A673"/>
      <c r="D673" s="170"/>
      <c r="F673" s="170"/>
      <c r="G673" s="5"/>
    </row>
    <row r="674" spans="1:7">
      <c r="A674"/>
      <c r="D674" s="170"/>
      <c r="F674" s="170"/>
      <c r="G674" s="5"/>
    </row>
    <row r="675" spans="1:7">
      <c r="A675"/>
      <c r="D675" s="170"/>
      <c r="F675" s="170"/>
      <c r="G675" s="5"/>
    </row>
    <row r="676" spans="1:7">
      <c r="A676"/>
      <c r="D676" s="170"/>
      <c r="F676" s="170"/>
      <c r="G676" s="5"/>
    </row>
    <row r="677" spans="1:7">
      <c r="A677"/>
      <c r="D677" s="170"/>
      <c r="F677" s="170"/>
      <c r="G677" s="5"/>
    </row>
    <row r="678" spans="1:7">
      <c r="A678"/>
      <c r="D678" s="170"/>
      <c r="F678" s="170"/>
      <c r="G678" s="5"/>
    </row>
    <row r="679" spans="1:7">
      <c r="A679"/>
      <c r="D679" s="170"/>
      <c r="F679" s="170"/>
      <c r="G679" s="5"/>
    </row>
    <row r="680" spans="1:7">
      <c r="A680"/>
      <c r="D680" s="170"/>
      <c r="F680" s="170"/>
      <c r="G680" s="5"/>
    </row>
    <row r="681" spans="1:7">
      <c r="A681"/>
      <c r="D681" s="170"/>
      <c r="F681" s="170"/>
      <c r="G681" s="5"/>
    </row>
    <row r="682" spans="1:7">
      <c r="A682"/>
      <c r="D682" s="170"/>
      <c r="F682" s="170"/>
      <c r="G682" s="5"/>
    </row>
    <row r="683" spans="1:7">
      <c r="A683"/>
      <c r="D683" s="170"/>
      <c r="F683" s="170"/>
      <c r="G683" s="5"/>
    </row>
    <row r="684" spans="1:7">
      <c r="A684"/>
      <c r="D684" s="170"/>
      <c r="F684" s="170"/>
      <c r="G684" s="5"/>
    </row>
    <row r="685" spans="1:7">
      <c r="A685"/>
      <c r="D685" s="170"/>
      <c r="F685" s="170"/>
      <c r="G685" s="5"/>
    </row>
    <row r="686" spans="1:7">
      <c r="A686"/>
      <c r="D686" s="170"/>
      <c r="F686" s="170"/>
      <c r="G686" s="5"/>
    </row>
    <row r="687" spans="1:7">
      <c r="A687"/>
      <c r="D687" s="170"/>
      <c r="F687" s="170"/>
      <c r="G687" s="5"/>
    </row>
    <row r="688" spans="1:7">
      <c r="A688"/>
      <c r="D688" s="170"/>
      <c r="F688" s="170"/>
      <c r="G688" s="5"/>
    </row>
    <row r="689" spans="1:7">
      <c r="A689"/>
      <c r="D689" s="170"/>
      <c r="F689" s="170"/>
      <c r="G689" s="5"/>
    </row>
    <row r="690" spans="1:7">
      <c r="A690"/>
      <c r="D690" s="170"/>
      <c r="F690" s="170"/>
      <c r="G690" s="5"/>
    </row>
    <row r="691" spans="1:7">
      <c r="A691"/>
      <c r="D691" s="170"/>
      <c r="F691" s="170"/>
      <c r="G691" s="5"/>
    </row>
    <row r="692" spans="1:7">
      <c r="A692"/>
      <c r="D692" s="170"/>
      <c r="F692" s="170"/>
      <c r="G692" s="5"/>
    </row>
    <row r="693" spans="1:7">
      <c r="A693"/>
      <c r="D693" s="170"/>
      <c r="F693" s="170"/>
      <c r="G693" s="5"/>
    </row>
    <row r="694" spans="1:7">
      <c r="A694"/>
      <c r="D694" s="170"/>
      <c r="F694" s="170"/>
      <c r="G694" s="5"/>
    </row>
    <row r="695" spans="1:7">
      <c r="A695"/>
      <c r="D695" s="170"/>
      <c r="F695" s="170"/>
      <c r="G695" s="5"/>
    </row>
    <row r="696" spans="1:7">
      <c r="A696"/>
      <c r="D696" s="170"/>
      <c r="F696" s="170"/>
      <c r="G696" s="5"/>
    </row>
    <row r="697" spans="1:7">
      <c r="A697"/>
      <c r="D697" s="170"/>
      <c r="F697" s="170"/>
      <c r="G697" s="5"/>
    </row>
    <row r="698" spans="1:7">
      <c r="A698"/>
      <c r="D698" s="170"/>
      <c r="F698" s="170"/>
      <c r="G698" s="5"/>
    </row>
    <row r="699" spans="1:7">
      <c r="A699"/>
      <c r="D699" s="170"/>
      <c r="F699" s="170"/>
      <c r="G699" s="5"/>
    </row>
    <row r="700" spans="1:7">
      <c r="A700"/>
      <c r="D700" s="170"/>
      <c r="F700" s="170"/>
      <c r="G700" s="5"/>
    </row>
    <row r="701" spans="1:7">
      <c r="A701"/>
      <c r="D701" s="170"/>
      <c r="F701" s="170"/>
      <c r="G701" s="5"/>
    </row>
    <row r="702" spans="1:7">
      <c r="A702"/>
      <c r="D702" s="170"/>
      <c r="F702" s="170"/>
      <c r="G702" s="5"/>
    </row>
    <row r="703" spans="1:7">
      <c r="A703"/>
      <c r="D703" s="170"/>
      <c r="F703" s="170"/>
      <c r="G703" s="5"/>
    </row>
    <row r="704" spans="1:7">
      <c r="A704"/>
      <c r="D704" s="170"/>
      <c r="F704" s="170"/>
      <c r="G704" s="5"/>
    </row>
    <row r="705" spans="1:7">
      <c r="A705"/>
      <c r="D705" s="170"/>
      <c r="F705" s="170"/>
      <c r="G705" s="5"/>
    </row>
    <row r="706" spans="1:7">
      <c r="A706"/>
      <c r="D706" s="170"/>
      <c r="F706" s="170"/>
      <c r="G706" s="5"/>
    </row>
    <row r="707" spans="1:7">
      <c r="A707"/>
      <c r="D707" s="170"/>
      <c r="F707" s="170"/>
      <c r="G707" s="5"/>
    </row>
    <row r="708" spans="1:7">
      <c r="A708"/>
      <c r="D708" s="170"/>
      <c r="F708" s="170"/>
      <c r="G708" s="5"/>
    </row>
    <row r="709" spans="1:7">
      <c r="A709"/>
      <c r="D709" s="170"/>
      <c r="F709" s="170"/>
      <c r="G709" s="5"/>
    </row>
    <row r="710" spans="1:7">
      <c r="A710"/>
      <c r="D710" s="170"/>
      <c r="F710" s="170"/>
      <c r="G710" s="5"/>
    </row>
    <row r="711" spans="1:7">
      <c r="A711"/>
      <c r="D711" s="170"/>
      <c r="F711" s="170"/>
      <c r="G711" s="5"/>
    </row>
    <row r="712" spans="1:7">
      <c r="A712"/>
      <c r="D712" s="170"/>
      <c r="F712" s="170"/>
      <c r="G712" s="5"/>
    </row>
    <row r="713" spans="1:7">
      <c r="A713"/>
      <c r="D713" s="170"/>
      <c r="F713" s="170"/>
      <c r="G713" s="5"/>
    </row>
    <row r="714" spans="1:7">
      <c r="A714"/>
      <c r="D714" s="170"/>
      <c r="F714" s="170"/>
      <c r="G714" s="5"/>
    </row>
    <row r="715" spans="1:7">
      <c r="A715"/>
      <c r="D715" s="170"/>
      <c r="F715" s="170"/>
      <c r="G715" s="5"/>
    </row>
    <row r="716" spans="1:7">
      <c r="A716"/>
      <c r="D716" s="170"/>
      <c r="F716" s="170"/>
      <c r="G716" s="5"/>
    </row>
    <row r="717" spans="1:7">
      <c r="A717"/>
      <c r="D717" s="170"/>
      <c r="F717" s="170"/>
      <c r="G717" s="5"/>
    </row>
    <row r="718" spans="1:7">
      <c r="A718"/>
      <c r="D718" s="170"/>
      <c r="F718" s="170"/>
      <c r="G718" s="5"/>
    </row>
    <row r="719" spans="1:7">
      <c r="A719"/>
      <c r="D719" s="170"/>
      <c r="F719" s="170"/>
      <c r="G719" s="5"/>
    </row>
    <row r="720" spans="1:7">
      <c r="A720"/>
      <c r="D720" s="170"/>
      <c r="F720" s="170"/>
      <c r="G720" s="5"/>
    </row>
    <row r="721" spans="1:7">
      <c r="A721"/>
      <c r="D721" s="170"/>
      <c r="F721" s="170"/>
      <c r="G721" s="5"/>
    </row>
    <row r="722" spans="1:7">
      <c r="A722"/>
      <c r="D722" s="170"/>
      <c r="F722" s="170"/>
      <c r="G722" s="5"/>
    </row>
    <row r="723" spans="1:7">
      <c r="A723"/>
      <c r="D723" s="170"/>
      <c r="F723" s="170"/>
      <c r="G723" s="5"/>
    </row>
    <row r="724" spans="1:7">
      <c r="A724"/>
      <c r="D724" s="170"/>
      <c r="F724" s="170"/>
      <c r="G724" s="5"/>
    </row>
    <row r="725" spans="1:7">
      <c r="A725"/>
      <c r="D725" s="170"/>
      <c r="F725" s="170"/>
      <c r="G725" s="5"/>
    </row>
    <row r="726" spans="1:7">
      <c r="A726"/>
      <c r="D726" s="170"/>
      <c r="F726" s="170"/>
      <c r="G726" s="5"/>
    </row>
    <row r="727" spans="1:7">
      <c r="A727"/>
      <c r="D727" s="170"/>
      <c r="F727" s="170"/>
      <c r="G727" s="5"/>
    </row>
    <row r="728" spans="1:7">
      <c r="A728"/>
      <c r="D728" s="170"/>
      <c r="F728" s="170"/>
      <c r="G728" s="5"/>
    </row>
    <row r="729" spans="1:7">
      <c r="A729"/>
      <c r="D729" s="170"/>
      <c r="F729" s="170"/>
      <c r="G729" s="5"/>
    </row>
    <row r="730" spans="1:7">
      <c r="A730"/>
      <c r="D730" s="170"/>
      <c r="F730" s="170"/>
      <c r="G730" s="5"/>
    </row>
    <row r="731" spans="1:7">
      <c r="A731"/>
      <c r="D731" s="170"/>
      <c r="F731" s="170"/>
      <c r="G731" s="5"/>
    </row>
    <row r="732" spans="1:7">
      <c r="A732"/>
      <c r="D732" s="170"/>
      <c r="F732" s="170"/>
      <c r="G732" s="5"/>
    </row>
    <row r="733" spans="1:7">
      <c r="A733"/>
      <c r="D733" s="170"/>
      <c r="F733" s="170"/>
      <c r="G733" s="5"/>
    </row>
    <row r="734" spans="1:7">
      <c r="A734"/>
      <c r="D734" s="170"/>
      <c r="F734" s="170"/>
      <c r="G734" s="5"/>
    </row>
    <row r="735" spans="1:7">
      <c r="A735"/>
      <c r="D735" s="170"/>
      <c r="F735" s="170"/>
      <c r="G735" s="5"/>
    </row>
    <row r="736" spans="1:7">
      <c r="A736"/>
      <c r="D736" s="170"/>
      <c r="F736" s="170"/>
      <c r="G736" s="5"/>
    </row>
    <row r="737" spans="1:7">
      <c r="A737"/>
      <c r="D737" s="170"/>
      <c r="F737" s="170"/>
      <c r="G737" s="5"/>
    </row>
    <row r="738" spans="1:7">
      <c r="A738"/>
      <c r="D738" s="170"/>
      <c r="F738" s="170"/>
      <c r="G738" s="5"/>
    </row>
    <row r="739" spans="1:7">
      <c r="A739"/>
      <c r="D739" s="170"/>
      <c r="F739" s="170"/>
      <c r="G739" s="5"/>
    </row>
    <row r="740" spans="1:7">
      <c r="A740"/>
      <c r="D740" s="170"/>
      <c r="F740" s="170"/>
      <c r="G740" s="5"/>
    </row>
    <row r="741" spans="1:7">
      <c r="A741"/>
      <c r="D741" s="170"/>
      <c r="F741" s="170"/>
      <c r="G741" s="5"/>
    </row>
    <row r="742" spans="1:7">
      <c r="A742"/>
      <c r="D742" s="170"/>
      <c r="F742" s="170"/>
      <c r="G742" s="5"/>
    </row>
    <row r="743" spans="1:7">
      <c r="A743"/>
      <c r="D743" s="170"/>
      <c r="F743" s="170"/>
      <c r="G743" s="5"/>
    </row>
    <row r="744" spans="1:7">
      <c r="A744"/>
      <c r="D744" s="170"/>
      <c r="F744" s="170"/>
      <c r="G744" s="5"/>
    </row>
    <row r="745" spans="1:7">
      <c r="A745"/>
      <c r="D745" s="170"/>
      <c r="F745" s="170"/>
      <c r="G745" s="5"/>
    </row>
    <row r="746" spans="1:7">
      <c r="A746"/>
      <c r="D746" s="170"/>
      <c r="F746" s="170"/>
      <c r="G746" s="5"/>
    </row>
    <row r="747" spans="1:7">
      <c r="A747"/>
      <c r="D747" s="170"/>
      <c r="F747" s="170"/>
      <c r="G747" s="5"/>
    </row>
    <row r="748" spans="1:7">
      <c r="A748"/>
      <c r="D748" s="170"/>
      <c r="F748" s="170"/>
      <c r="G748" s="5"/>
    </row>
    <row r="749" spans="1:7">
      <c r="A749"/>
      <c r="D749" s="170"/>
      <c r="F749" s="170"/>
      <c r="G749" s="5"/>
    </row>
    <row r="750" spans="1:7">
      <c r="A750"/>
      <c r="D750" s="170"/>
      <c r="F750" s="170"/>
      <c r="G750" s="5"/>
    </row>
    <row r="751" spans="1:7">
      <c r="A751"/>
      <c r="D751" s="170"/>
      <c r="F751" s="170"/>
      <c r="G751" s="5"/>
    </row>
    <row r="752" spans="1:7">
      <c r="A752"/>
      <c r="D752" s="170"/>
      <c r="F752" s="170"/>
      <c r="G752" s="5"/>
    </row>
    <row r="753" spans="1:7">
      <c r="A753"/>
      <c r="D753" s="170"/>
      <c r="F753" s="170"/>
      <c r="G753" s="5"/>
    </row>
    <row r="754" spans="1:7">
      <c r="A754"/>
      <c r="D754" s="170"/>
      <c r="F754" s="170"/>
      <c r="G754" s="5"/>
    </row>
    <row r="755" spans="1:7">
      <c r="A755"/>
      <c r="D755" s="170"/>
      <c r="F755" s="170"/>
      <c r="G755" s="5"/>
    </row>
    <row r="756" spans="1:7">
      <c r="A756"/>
      <c r="D756" s="170"/>
      <c r="F756" s="170"/>
      <c r="G756" s="5"/>
    </row>
    <row r="757" spans="1:7">
      <c r="A757"/>
      <c r="D757" s="170"/>
      <c r="F757" s="170"/>
      <c r="G757" s="5"/>
    </row>
    <row r="758" spans="1:7">
      <c r="A758"/>
      <c r="D758" s="170"/>
      <c r="F758" s="170"/>
      <c r="G758" s="5"/>
    </row>
    <row r="759" spans="1:7">
      <c r="A759"/>
      <c r="D759" s="170"/>
      <c r="F759" s="170"/>
      <c r="G759" s="5"/>
    </row>
    <row r="760" spans="1:7">
      <c r="A760"/>
      <c r="D760" s="170"/>
      <c r="F760" s="170"/>
      <c r="G760" s="5"/>
    </row>
    <row r="761" spans="1:7">
      <c r="A761"/>
      <c r="D761" s="170"/>
      <c r="F761" s="170"/>
      <c r="G761" s="5"/>
    </row>
    <row r="762" spans="1:7">
      <c r="A762"/>
      <c r="D762" s="170"/>
      <c r="F762" s="170"/>
      <c r="G762" s="5"/>
    </row>
    <row r="763" spans="1:7">
      <c r="A763"/>
      <c r="D763" s="170"/>
      <c r="F763" s="170"/>
      <c r="G763" s="5"/>
    </row>
    <row r="764" spans="1:7">
      <c r="A764"/>
      <c r="D764" s="170"/>
      <c r="F764" s="170"/>
      <c r="G764" s="5"/>
    </row>
    <row r="765" spans="1:7">
      <c r="A765"/>
      <c r="D765" s="170"/>
      <c r="F765" s="170"/>
      <c r="G765" s="5"/>
    </row>
    <row r="766" spans="1:7">
      <c r="A766"/>
      <c r="D766" s="170"/>
      <c r="F766" s="170"/>
      <c r="G766" s="5"/>
    </row>
    <row r="767" spans="1:7">
      <c r="A767"/>
      <c r="D767" s="170"/>
      <c r="F767" s="170"/>
      <c r="G767" s="5"/>
    </row>
    <row r="768" spans="1:7">
      <c r="A768"/>
      <c r="D768" s="170"/>
      <c r="F768" s="170"/>
      <c r="G768" s="5"/>
    </row>
    <row r="769" spans="1:7">
      <c r="A769"/>
      <c r="D769" s="170"/>
      <c r="F769" s="170"/>
      <c r="G769" s="5"/>
    </row>
    <row r="770" spans="1:7">
      <c r="A770"/>
      <c r="D770" s="170"/>
      <c r="F770" s="170"/>
      <c r="G770" s="5"/>
    </row>
    <row r="771" spans="1:7">
      <c r="A771"/>
      <c r="D771" s="170"/>
      <c r="F771" s="170"/>
      <c r="G771" s="5"/>
    </row>
    <row r="772" spans="1:7">
      <c r="A772"/>
      <c r="D772" s="170"/>
      <c r="F772" s="170"/>
      <c r="G772" s="5"/>
    </row>
    <row r="773" spans="1:7">
      <c r="A773"/>
      <c r="D773" s="170"/>
      <c r="F773" s="170"/>
      <c r="G773" s="5"/>
    </row>
    <row r="774" spans="1:7">
      <c r="A774"/>
      <c r="D774" s="170"/>
      <c r="F774" s="170"/>
      <c r="G774" s="5"/>
    </row>
    <row r="775" spans="1:7">
      <c r="A775"/>
      <c r="D775" s="170"/>
      <c r="F775" s="170"/>
      <c r="G775" s="5"/>
    </row>
    <row r="776" spans="1:7">
      <c r="A776"/>
      <c r="D776" s="170"/>
      <c r="F776" s="170"/>
      <c r="G776" s="5"/>
    </row>
    <row r="777" spans="1:7">
      <c r="A777"/>
      <c r="D777" s="170"/>
      <c r="F777" s="170"/>
      <c r="G777" s="5"/>
    </row>
    <row r="778" spans="1:7">
      <c r="A778"/>
      <c r="D778" s="170"/>
      <c r="F778" s="170"/>
      <c r="G778" s="5"/>
    </row>
    <row r="779" spans="1:7">
      <c r="A779"/>
      <c r="D779" s="170"/>
      <c r="F779" s="170"/>
      <c r="G779" s="5"/>
    </row>
    <row r="780" spans="1:7">
      <c r="A780"/>
      <c r="D780" s="170"/>
      <c r="F780" s="170"/>
      <c r="G780" s="5"/>
    </row>
    <row r="781" spans="1:7">
      <c r="A781"/>
      <c r="D781" s="170"/>
      <c r="F781" s="170"/>
      <c r="G781" s="5"/>
    </row>
    <row r="782" spans="1:7">
      <c r="A782"/>
      <c r="D782" s="170"/>
      <c r="F782" s="170"/>
      <c r="G782" s="5"/>
    </row>
    <row r="783" spans="1:7">
      <c r="A783"/>
      <c r="D783" s="170"/>
      <c r="F783" s="170"/>
      <c r="G783" s="5"/>
    </row>
    <row r="784" spans="1:7">
      <c r="A784"/>
      <c r="D784" s="170"/>
      <c r="F784" s="170"/>
      <c r="G784" s="5"/>
    </row>
    <row r="785" spans="1:7">
      <c r="A785"/>
      <c r="D785" s="170"/>
      <c r="F785" s="170"/>
      <c r="G785" s="5"/>
    </row>
    <row r="786" spans="1:7">
      <c r="A786"/>
      <c r="D786" s="170"/>
      <c r="F786" s="170"/>
      <c r="G786" s="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39</vt:i4>
      </vt:variant>
    </vt:vector>
  </HeadingPairs>
  <TitlesOfParts>
    <vt:vector size="54" baseType="lpstr">
      <vt:lpstr>INICIO</vt:lpstr>
      <vt:lpstr>ORCAMENTO</vt:lpstr>
      <vt:lpstr>LAN_RECEITAS</vt:lpstr>
      <vt:lpstr>LAN_DESPESAS</vt:lpstr>
      <vt:lpstr>LAN_CARTOES</vt:lpstr>
      <vt:lpstr>FLUXO_CAIXA</vt:lpstr>
      <vt:lpstr>DASHBOARD</vt:lpstr>
      <vt:lpstr>FATURAS_CARTAO</vt:lpstr>
      <vt:lpstr>PREVISOES</vt:lpstr>
      <vt:lpstr>LAN_INVESTIMENTOS</vt:lpstr>
      <vt:lpstr>CAD_Investimentos</vt:lpstr>
      <vt:lpstr>CAD_Categorias</vt:lpstr>
      <vt:lpstr>Aux_Listas</vt:lpstr>
      <vt:lpstr>CALENDARIO</vt:lpstr>
      <vt:lpstr>PARCELAS </vt:lpstr>
      <vt:lpstr>Alimentacao</vt:lpstr>
      <vt:lpstr>Alimentação</vt:lpstr>
      <vt:lpstr>Beneficio</vt:lpstr>
      <vt:lpstr>Benefício</vt:lpstr>
      <vt:lpstr>Caridade</vt:lpstr>
      <vt:lpstr>Cartoes_Credito</vt:lpstr>
      <vt:lpstr>Categorias_Despesa</vt:lpstr>
      <vt:lpstr>Categorias_Receita</vt:lpstr>
      <vt:lpstr>Convênio</vt:lpstr>
      <vt:lpstr>Convenios</vt:lpstr>
      <vt:lpstr>Convênios</vt:lpstr>
      <vt:lpstr>Dividas</vt:lpstr>
      <vt:lpstr>Dívidas</vt:lpstr>
      <vt:lpstr>Educacao</vt:lpstr>
      <vt:lpstr>Educação</vt:lpstr>
      <vt:lpstr>Extra</vt:lpstr>
      <vt:lpstr>Habitacao</vt:lpstr>
      <vt:lpstr>Habitação</vt:lpstr>
      <vt:lpstr>Invest_Alternativos</vt:lpstr>
      <vt:lpstr>Lazer</vt:lpstr>
      <vt:lpstr>Outras_Despesas</vt:lpstr>
      <vt:lpstr>Outros</vt:lpstr>
      <vt:lpstr>Previdência</vt:lpstr>
      <vt:lpstr>Renda_Fixa</vt:lpstr>
      <vt:lpstr>Renda_Variável</vt:lpstr>
      <vt:lpstr>Rentda_Fixa</vt:lpstr>
      <vt:lpstr>Salario</vt:lpstr>
      <vt:lpstr>Salário</vt:lpstr>
      <vt:lpstr>Saude</vt:lpstr>
      <vt:lpstr>Saúde</vt:lpstr>
      <vt:lpstr>Servico</vt:lpstr>
      <vt:lpstr>tbReceitas</vt:lpstr>
      <vt:lpstr>LAN_CARTOES!Titulos_de_impressao</vt:lpstr>
      <vt:lpstr>LAN_DESPESAS!Titulos_de_impressao</vt:lpstr>
      <vt:lpstr>LAN_RECEITAS!Titulos_de_impressao</vt:lpstr>
      <vt:lpstr>Trabalho</vt:lpstr>
      <vt:lpstr>Transporte</vt:lpstr>
      <vt:lpstr>Vestuario</vt:lpstr>
      <vt:lpstr>Vestuário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Fonseca</dc:creator>
  <cp:lastModifiedBy>João Fonseca</cp:lastModifiedBy>
  <cp:lastPrinted>2026-05-18T13:57:15Z</cp:lastPrinted>
  <dcterms:created xsi:type="dcterms:W3CDTF">2026-05-06T18:58:28Z</dcterms:created>
  <dcterms:modified xsi:type="dcterms:W3CDTF">2026-05-18T17:47:50Z</dcterms:modified>
</cp:coreProperties>
</file>